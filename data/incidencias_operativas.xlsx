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yner_\Downloads\"/>
    </mc:Choice>
  </mc:AlternateContent>
  <xr:revisionPtr revIDLastSave="0" documentId="8_{FD979881-939B-4306-A2CF-913865FA0CDA}" xr6:coauthVersionLast="47" xr6:coauthVersionMax="47" xr10:uidLastSave="{00000000-0000-0000-0000-000000000000}"/>
  <bookViews>
    <workbookView xWindow="-108" yWindow="-108" windowWidth="23256" windowHeight="12456" firstSheet="1" activeTab="1" xr2:uid="{7B83ED2B-F9C2-400F-A59E-D5E65F48633A}"/>
  </bookViews>
  <sheets>
    <sheet name="FORMULA.DATASET" sheetId="3" state="hidden" r:id="rId1"/>
    <sheet name="DATA SET" sheetId="1" r:id="rId2"/>
    <sheet name="lista" sheetId="2" state="hidden" r:id="rId3"/>
  </sheets>
  <definedNames>
    <definedName name="_xlnm._FilterDatabase" localSheetId="1" hidden="1">'DATA SET'!$A$1:$M$501</definedName>
    <definedName name="_xlnm._FilterDatabase" localSheetId="0" hidden="1">FORMULA.DATASET!$A$1:$M$501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01" i="3" l="1"/>
  <c r="I501" i="3"/>
  <c r="H501" i="3" a="1"/>
  <c r="H501" i="3" s="1"/>
  <c r="G501" i="3" a="1"/>
  <c r="G501" i="3" s="1"/>
  <c r="M501" i="3" s="1"/>
  <c r="E501" i="3" a="1"/>
  <c r="E501" i="3" s="1"/>
  <c r="D501" i="3"/>
  <c r="B501" i="3"/>
  <c r="C501" i="3" s="1"/>
  <c r="A501" i="3"/>
  <c r="J500" i="3"/>
  <c r="I500" i="3"/>
  <c r="H500" i="3" a="1"/>
  <c r="H500" i="3" s="1"/>
  <c r="G500" i="3" a="1"/>
  <c r="G500" i="3" s="1"/>
  <c r="M500" i="3" s="1"/>
  <c r="E500" i="3" a="1"/>
  <c r="E500" i="3" s="1"/>
  <c r="D500" i="3"/>
  <c r="B500" i="3"/>
  <c r="C500" i="3" s="1"/>
  <c r="A500" i="3"/>
  <c r="J499" i="3"/>
  <c r="I499" i="3"/>
  <c r="H499" i="3" a="1"/>
  <c r="H499" i="3" s="1"/>
  <c r="G499" i="3" a="1"/>
  <c r="G499" i="3" s="1"/>
  <c r="M499" i="3" s="1"/>
  <c r="E499" i="3" a="1"/>
  <c r="E499" i="3" s="1"/>
  <c r="D499" i="3"/>
  <c r="B499" i="3"/>
  <c r="C499" i="3" s="1"/>
  <c r="A499" i="3"/>
  <c r="J498" i="3"/>
  <c r="I498" i="3"/>
  <c r="H498" i="3" a="1"/>
  <c r="H498" i="3" s="1"/>
  <c r="G498" i="3" a="1"/>
  <c r="G498" i="3" s="1"/>
  <c r="M498" i="3" s="1"/>
  <c r="E498" i="3" a="1"/>
  <c r="E498" i="3" s="1"/>
  <c r="D498" i="3"/>
  <c r="B498" i="3"/>
  <c r="C498" i="3" s="1"/>
  <c r="A498" i="3"/>
  <c r="J497" i="3"/>
  <c r="I497" i="3"/>
  <c r="H497" i="3" a="1"/>
  <c r="H497" i="3" s="1"/>
  <c r="G497" i="3" a="1"/>
  <c r="G497" i="3" s="1"/>
  <c r="M497" i="3" s="1"/>
  <c r="E497" i="3" a="1"/>
  <c r="E497" i="3" s="1"/>
  <c r="D497" i="3"/>
  <c r="B497" i="3"/>
  <c r="C497" i="3" s="1"/>
  <c r="A497" i="3"/>
  <c r="J496" i="3"/>
  <c r="I496" i="3"/>
  <c r="H496" i="3" a="1"/>
  <c r="H496" i="3" s="1"/>
  <c r="G496" i="3" a="1"/>
  <c r="G496" i="3" s="1"/>
  <c r="M496" i="3" s="1"/>
  <c r="E496" i="3" a="1"/>
  <c r="E496" i="3" s="1"/>
  <c r="D496" i="3"/>
  <c r="B496" i="3"/>
  <c r="C496" i="3" s="1"/>
  <c r="A496" i="3"/>
  <c r="J495" i="3"/>
  <c r="I495" i="3"/>
  <c r="H495" i="3" a="1"/>
  <c r="H495" i="3" s="1"/>
  <c r="G495" i="3" a="1"/>
  <c r="G495" i="3" s="1"/>
  <c r="M495" i="3" s="1"/>
  <c r="E495" i="3" a="1"/>
  <c r="E495" i="3" s="1"/>
  <c r="D495" i="3"/>
  <c r="B495" i="3"/>
  <c r="C495" i="3" s="1"/>
  <c r="A495" i="3"/>
  <c r="J494" i="3"/>
  <c r="I494" i="3"/>
  <c r="H494" i="3" a="1"/>
  <c r="H494" i="3" s="1"/>
  <c r="G494" i="3" a="1"/>
  <c r="G494" i="3" s="1"/>
  <c r="M494" i="3" s="1"/>
  <c r="E494" i="3" a="1"/>
  <c r="E494" i="3" s="1"/>
  <c r="D494" i="3"/>
  <c r="B494" i="3"/>
  <c r="C494" i="3" s="1"/>
  <c r="A494" i="3"/>
  <c r="J493" i="3"/>
  <c r="I493" i="3"/>
  <c r="H493" i="3" a="1"/>
  <c r="H493" i="3" s="1"/>
  <c r="G493" i="3" a="1"/>
  <c r="G493" i="3" s="1"/>
  <c r="M493" i="3" s="1"/>
  <c r="E493" i="3" a="1"/>
  <c r="E493" i="3" s="1"/>
  <c r="D493" i="3"/>
  <c r="B493" i="3"/>
  <c r="C493" i="3" s="1"/>
  <c r="A493" i="3"/>
  <c r="J492" i="3"/>
  <c r="I492" i="3"/>
  <c r="H492" i="3" a="1"/>
  <c r="H492" i="3" s="1"/>
  <c r="G492" i="3" a="1"/>
  <c r="G492" i="3" s="1"/>
  <c r="M492" i="3" s="1"/>
  <c r="E492" i="3" a="1"/>
  <c r="E492" i="3" s="1"/>
  <c r="D492" i="3"/>
  <c r="B492" i="3"/>
  <c r="C492" i="3" s="1"/>
  <c r="A492" i="3"/>
  <c r="J491" i="3"/>
  <c r="I491" i="3"/>
  <c r="H491" i="3" a="1"/>
  <c r="H491" i="3" s="1"/>
  <c r="G491" i="3" a="1"/>
  <c r="G491" i="3" s="1"/>
  <c r="M491" i="3" s="1"/>
  <c r="E491" i="3" a="1"/>
  <c r="E491" i="3" s="1"/>
  <c r="D491" i="3"/>
  <c r="B491" i="3"/>
  <c r="C491" i="3" s="1"/>
  <c r="A491" i="3"/>
  <c r="J490" i="3"/>
  <c r="L490" i="3" s="1"/>
  <c r="I490" i="3"/>
  <c r="H490" i="3" a="1"/>
  <c r="H490" i="3" s="1"/>
  <c r="G490" i="3" a="1"/>
  <c r="G490" i="3" s="1"/>
  <c r="M490" i="3" s="1"/>
  <c r="E490" i="3" a="1"/>
  <c r="E490" i="3" s="1"/>
  <c r="D490" i="3"/>
  <c r="B490" i="3"/>
  <c r="C490" i="3" s="1"/>
  <c r="A490" i="3"/>
  <c r="J489" i="3"/>
  <c r="I489" i="3"/>
  <c r="H489" i="3" a="1"/>
  <c r="H489" i="3" s="1"/>
  <c r="G489" i="3" a="1"/>
  <c r="G489" i="3" s="1"/>
  <c r="M489" i="3" s="1"/>
  <c r="E489" i="3" a="1"/>
  <c r="E489" i="3" s="1"/>
  <c r="D489" i="3"/>
  <c r="B489" i="3"/>
  <c r="C489" i="3" s="1"/>
  <c r="A489" i="3"/>
  <c r="J488" i="3"/>
  <c r="I488" i="3"/>
  <c r="H488" i="3" a="1"/>
  <c r="H488" i="3" s="1"/>
  <c r="G488" i="3" a="1"/>
  <c r="G488" i="3" s="1"/>
  <c r="M488" i="3" s="1"/>
  <c r="E488" i="3" a="1"/>
  <c r="E488" i="3" s="1"/>
  <c r="D488" i="3"/>
  <c r="B488" i="3"/>
  <c r="C488" i="3" s="1"/>
  <c r="A488" i="3"/>
  <c r="J487" i="3"/>
  <c r="I487" i="3"/>
  <c r="H487" i="3" a="1"/>
  <c r="H487" i="3" s="1"/>
  <c r="G487" i="3" a="1"/>
  <c r="G487" i="3" s="1"/>
  <c r="M487" i="3" s="1"/>
  <c r="E487" i="3" a="1"/>
  <c r="E487" i="3" s="1"/>
  <c r="D487" i="3"/>
  <c r="B487" i="3"/>
  <c r="C487" i="3" s="1"/>
  <c r="A487" i="3"/>
  <c r="J486" i="3"/>
  <c r="I486" i="3"/>
  <c r="H486" i="3" a="1"/>
  <c r="H486" i="3" s="1"/>
  <c r="G486" i="3" a="1"/>
  <c r="G486" i="3" s="1"/>
  <c r="M486" i="3" s="1"/>
  <c r="E486" i="3" a="1"/>
  <c r="E486" i="3" s="1"/>
  <c r="D486" i="3"/>
  <c r="B486" i="3"/>
  <c r="C486" i="3" s="1"/>
  <c r="A486" i="3"/>
  <c r="J485" i="3"/>
  <c r="I485" i="3"/>
  <c r="H485" i="3" a="1"/>
  <c r="H485" i="3" s="1"/>
  <c r="G485" i="3" a="1"/>
  <c r="G485" i="3" s="1"/>
  <c r="M485" i="3" s="1"/>
  <c r="E485" i="3" a="1"/>
  <c r="E485" i="3" s="1"/>
  <c r="D485" i="3"/>
  <c r="B485" i="3"/>
  <c r="C485" i="3" s="1"/>
  <c r="A485" i="3"/>
  <c r="J484" i="3"/>
  <c r="L484" i="3" s="1"/>
  <c r="I484" i="3"/>
  <c r="H484" i="3" a="1"/>
  <c r="H484" i="3" s="1"/>
  <c r="G484" i="3" a="1"/>
  <c r="G484" i="3" s="1"/>
  <c r="M484" i="3" s="1"/>
  <c r="E484" i="3" a="1"/>
  <c r="E484" i="3" s="1"/>
  <c r="D484" i="3"/>
  <c r="B484" i="3"/>
  <c r="C484" i="3" s="1"/>
  <c r="A484" i="3"/>
  <c r="J483" i="3"/>
  <c r="I483" i="3"/>
  <c r="H483" i="3" a="1"/>
  <c r="H483" i="3" s="1"/>
  <c r="G483" i="3" a="1"/>
  <c r="G483" i="3" s="1"/>
  <c r="M483" i="3" s="1"/>
  <c r="E483" i="3" a="1"/>
  <c r="E483" i="3" s="1"/>
  <c r="D483" i="3"/>
  <c r="B483" i="3"/>
  <c r="C483" i="3" s="1"/>
  <c r="A483" i="3"/>
  <c r="J482" i="3"/>
  <c r="I482" i="3"/>
  <c r="H482" i="3" a="1"/>
  <c r="H482" i="3" s="1"/>
  <c r="G482" i="3" a="1"/>
  <c r="G482" i="3" s="1"/>
  <c r="M482" i="3" s="1"/>
  <c r="E482" i="3" a="1"/>
  <c r="E482" i="3" s="1"/>
  <c r="D482" i="3"/>
  <c r="B482" i="3"/>
  <c r="C482" i="3" s="1"/>
  <c r="A482" i="3"/>
  <c r="J481" i="3"/>
  <c r="I481" i="3"/>
  <c r="H481" i="3" a="1"/>
  <c r="H481" i="3" s="1"/>
  <c r="G481" i="3" a="1"/>
  <c r="G481" i="3" s="1"/>
  <c r="M481" i="3" s="1"/>
  <c r="E481" i="3" a="1"/>
  <c r="E481" i="3" s="1"/>
  <c r="D481" i="3"/>
  <c r="B481" i="3"/>
  <c r="C481" i="3" s="1"/>
  <c r="A481" i="3"/>
  <c r="J480" i="3"/>
  <c r="I480" i="3"/>
  <c r="H480" i="3" a="1"/>
  <c r="H480" i="3" s="1"/>
  <c r="G480" i="3" a="1"/>
  <c r="G480" i="3" s="1"/>
  <c r="M480" i="3" s="1"/>
  <c r="E480" i="3" a="1"/>
  <c r="E480" i="3" s="1"/>
  <c r="D480" i="3"/>
  <c r="B480" i="3"/>
  <c r="C480" i="3" s="1"/>
  <c r="A480" i="3"/>
  <c r="J479" i="3"/>
  <c r="I479" i="3"/>
  <c r="H479" i="3" a="1"/>
  <c r="H479" i="3" s="1"/>
  <c r="G479" i="3" a="1"/>
  <c r="G479" i="3" s="1"/>
  <c r="M479" i="3" s="1"/>
  <c r="E479" i="3" a="1"/>
  <c r="E479" i="3" s="1"/>
  <c r="D479" i="3"/>
  <c r="B479" i="3"/>
  <c r="C479" i="3" s="1"/>
  <c r="A479" i="3"/>
  <c r="J478" i="3"/>
  <c r="L478" i="3" s="1"/>
  <c r="I478" i="3"/>
  <c r="H478" i="3" a="1"/>
  <c r="H478" i="3" s="1"/>
  <c r="G478" i="3" a="1"/>
  <c r="G478" i="3" s="1"/>
  <c r="M478" i="3" s="1"/>
  <c r="E478" i="3" a="1"/>
  <c r="E478" i="3" s="1"/>
  <c r="D478" i="3"/>
  <c r="B478" i="3"/>
  <c r="C478" i="3" s="1"/>
  <c r="A478" i="3"/>
  <c r="J477" i="3"/>
  <c r="I477" i="3"/>
  <c r="H477" i="3" a="1"/>
  <c r="H477" i="3" s="1"/>
  <c r="G477" i="3" a="1"/>
  <c r="G477" i="3" s="1"/>
  <c r="M477" i="3" s="1"/>
  <c r="E477" i="3" a="1"/>
  <c r="E477" i="3" s="1"/>
  <c r="D477" i="3"/>
  <c r="B477" i="3"/>
  <c r="C477" i="3" s="1"/>
  <c r="A477" i="3"/>
  <c r="J476" i="3"/>
  <c r="I476" i="3"/>
  <c r="H476" i="3" a="1"/>
  <c r="H476" i="3" s="1"/>
  <c r="G476" i="3" a="1"/>
  <c r="G476" i="3" s="1"/>
  <c r="M476" i="3" s="1"/>
  <c r="E476" i="3" a="1"/>
  <c r="E476" i="3" s="1"/>
  <c r="D476" i="3"/>
  <c r="B476" i="3"/>
  <c r="C476" i="3" s="1"/>
  <c r="A476" i="3"/>
  <c r="J475" i="3"/>
  <c r="I475" i="3"/>
  <c r="H475" i="3" a="1"/>
  <c r="H475" i="3" s="1"/>
  <c r="G475" i="3" a="1"/>
  <c r="G475" i="3" s="1"/>
  <c r="M475" i="3" s="1"/>
  <c r="E475" i="3" a="1"/>
  <c r="E475" i="3" s="1"/>
  <c r="D475" i="3"/>
  <c r="B475" i="3"/>
  <c r="C475" i="3" s="1"/>
  <c r="A475" i="3"/>
  <c r="J474" i="3"/>
  <c r="I474" i="3"/>
  <c r="H474" i="3" a="1"/>
  <c r="H474" i="3" s="1"/>
  <c r="G474" i="3" a="1"/>
  <c r="G474" i="3" s="1"/>
  <c r="M474" i="3" s="1"/>
  <c r="E474" i="3" a="1"/>
  <c r="E474" i="3" s="1"/>
  <c r="D474" i="3"/>
  <c r="B474" i="3"/>
  <c r="C474" i="3" s="1"/>
  <c r="A474" i="3"/>
  <c r="J473" i="3"/>
  <c r="I473" i="3"/>
  <c r="H473" i="3" a="1"/>
  <c r="H473" i="3" s="1"/>
  <c r="G473" i="3" a="1"/>
  <c r="G473" i="3" s="1"/>
  <c r="M473" i="3" s="1"/>
  <c r="E473" i="3" a="1"/>
  <c r="E473" i="3" s="1"/>
  <c r="D473" i="3"/>
  <c r="B473" i="3"/>
  <c r="C473" i="3" s="1"/>
  <c r="A473" i="3"/>
  <c r="J472" i="3"/>
  <c r="L472" i="3" s="1"/>
  <c r="I472" i="3"/>
  <c r="H472" i="3" a="1"/>
  <c r="H472" i="3" s="1"/>
  <c r="G472" i="3" a="1"/>
  <c r="G472" i="3" s="1"/>
  <c r="M472" i="3" s="1"/>
  <c r="E472" i="3" a="1"/>
  <c r="E472" i="3" s="1"/>
  <c r="D472" i="3"/>
  <c r="B472" i="3"/>
  <c r="C472" i="3" s="1"/>
  <c r="A472" i="3"/>
  <c r="J471" i="3"/>
  <c r="I471" i="3"/>
  <c r="H471" i="3" a="1"/>
  <c r="H471" i="3" s="1"/>
  <c r="G471" i="3" a="1"/>
  <c r="G471" i="3" s="1"/>
  <c r="M471" i="3" s="1"/>
  <c r="E471" i="3" a="1"/>
  <c r="E471" i="3" s="1"/>
  <c r="D471" i="3"/>
  <c r="B471" i="3"/>
  <c r="C471" i="3" s="1"/>
  <c r="A471" i="3"/>
  <c r="J470" i="3"/>
  <c r="I470" i="3"/>
  <c r="H470" i="3" a="1"/>
  <c r="H470" i="3" s="1"/>
  <c r="G470" i="3" a="1"/>
  <c r="G470" i="3" s="1"/>
  <c r="M470" i="3" s="1"/>
  <c r="E470" i="3" a="1"/>
  <c r="E470" i="3" s="1"/>
  <c r="D470" i="3"/>
  <c r="B470" i="3"/>
  <c r="C470" i="3" s="1"/>
  <c r="A470" i="3"/>
  <c r="J469" i="3"/>
  <c r="I469" i="3"/>
  <c r="H469" i="3" a="1"/>
  <c r="H469" i="3" s="1"/>
  <c r="G469" i="3" a="1"/>
  <c r="G469" i="3" s="1"/>
  <c r="M469" i="3" s="1"/>
  <c r="E469" i="3" a="1"/>
  <c r="E469" i="3" s="1"/>
  <c r="D469" i="3"/>
  <c r="B469" i="3"/>
  <c r="C469" i="3" s="1"/>
  <c r="A469" i="3"/>
  <c r="J468" i="3"/>
  <c r="I468" i="3"/>
  <c r="H468" i="3" a="1"/>
  <c r="H468" i="3" s="1"/>
  <c r="G468" i="3" a="1"/>
  <c r="G468" i="3" s="1"/>
  <c r="M468" i="3" s="1"/>
  <c r="E468" i="3" a="1"/>
  <c r="E468" i="3" s="1"/>
  <c r="D468" i="3"/>
  <c r="B468" i="3"/>
  <c r="C468" i="3" s="1"/>
  <c r="A468" i="3"/>
  <c r="J467" i="3"/>
  <c r="I467" i="3"/>
  <c r="H467" i="3" a="1"/>
  <c r="H467" i="3" s="1"/>
  <c r="G467" i="3" a="1"/>
  <c r="G467" i="3" s="1"/>
  <c r="M467" i="3" s="1"/>
  <c r="E467" i="3" a="1"/>
  <c r="E467" i="3" s="1"/>
  <c r="D467" i="3"/>
  <c r="B467" i="3"/>
  <c r="C467" i="3" s="1"/>
  <c r="A467" i="3"/>
  <c r="J466" i="3"/>
  <c r="I466" i="3"/>
  <c r="H466" i="3" a="1"/>
  <c r="H466" i="3" s="1"/>
  <c r="G466" i="3" a="1"/>
  <c r="G466" i="3" s="1"/>
  <c r="M466" i="3" s="1"/>
  <c r="E466" i="3" a="1"/>
  <c r="E466" i="3" s="1"/>
  <c r="D466" i="3"/>
  <c r="B466" i="3"/>
  <c r="C466" i="3" s="1"/>
  <c r="A466" i="3"/>
  <c r="J465" i="3"/>
  <c r="I465" i="3"/>
  <c r="H465" i="3" a="1"/>
  <c r="H465" i="3" s="1"/>
  <c r="G465" i="3" a="1"/>
  <c r="G465" i="3" s="1"/>
  <c r="M465" i="3" s="1"/>
  <c r="E465" i="3" a="1"/>
  <c r="E465" i="3" s="1"/>
  <c r="D465" i="3"/>
  <c r="B465" i="3"/>
  <c r="C465" i="3" s="1"/>
  <c r="A465" i="3"/>
  <c r="J464" i="3"/>
  <c r="I464" i="3"/>
  <c r="H464" i="3" a="1"/>
  <c r="H464" i="3" s="1"/>
  <c r="G464" i="3" a="1"/>
  <c r="G464" i="3" s="1"/>
  <c r="M464" i="3" s="1"/>
  <c r="E464" i="3" a="1"/>
  <c r="E464" i="3" s="1"/>
  <c r="D464" i="3"/>
  <c r="B464" i="3"/>
  <c r="C464" i="3" s="1"/>
  <c r="A464" i="3"/>
  <c r="J463" i="3"/>
  <c r="I463" i="3"/>
  <c r="H463" i="3" a="1"/>
  <c r="H463" i="3" s="1"/>
  <c r="G463" i="3" a="1"/>
  <c r="G463" i="3" s="1"/>
  <c r="M463" i="3" s="1"/>
  <c r="E463" i="3" a="1"/>
  <c r="E463" i="3" s="1"/>
  <c r="D463" i="3"/>
  <c r="B463" i="3"/>
  <c r="C463" i="3" s="1"/>
  <c r="A463" i="3"/>
  <c r="J462" i="3"/>
  <c r="I462" i="3"/>
  <c r="H462" i="3" a="1"/>
  <c r="H462" i="3" s="1"/>
  <c r="G462" i="3" a="1"/>
  <c r="G462" i="3" s="1"/>
  <c r="M462" i="3" s="1"/>
  <c r="E462" i="3" a="1"/>
  <c r="E462" i="3" s="1"/>
  <c r="D462" i="3"/>
  <c r="B462" i="3"/>
  <c r="C462" i="3" s="1"/>
  <c r="A462" i="3"/>
  <c r="J461" i="3"/>
  <c r="L461" i="3" s="1"/>
  <c r="I461" i="3"/>
  <c r="H461" i="3" a="1"/>
  <c r="H461" i="3" s="1"/>
  <c r="G461" i="3" a="1"/>
  <c r="G461" i="3" s="1"/>
  <c r="M461" i="3" s="1"/>
  <c r="E461" i="3" a="1"/>
  <c r="E461" i="3" s="1"/>
  <c r="D461" i="3"/>
  <c r="B461" i="3"/>
  <c r="C461" i="3" s="1"/>
  <c r="A461" i="3"/>
  <c r="J460" i="3"/>
  <c r="L460" i="3" s="1"/>
  <c r="I460" i="3"/>
  <c r="H460" i="3" a="1"/>
  <c r="H460" i="3" s="1"/>
  <c r="G460" i="3" a="1"/>
  <c r="G460" i="3" s="1"/>
  <c r="M460" i="3" s="1"/>
  <c r="E460" i="3" a="1"/>
  <c r="E460" i="3" s="1"/>
  <c r="D460" i="3"/>
  <c r="B460" i="3"/>
  <c r="C460" i="3" s="1"/>
  <c r="A460" i="3"/>
  <c r="J459" i="3"/>
  <c r="I459" i="3"/>
  <c r="H459" i="3" a="1"/>
  <c r="H459" i="3" s="1"/>
  <c r="G459" i="3" a="1"/>
  <c r="G459" i="3" s="1"/>
  <c r="M459" i="3" s="1"/>
  <c r="E459" i="3" a="1"/>
  <c r="E459" i="3" s="1"/>
  <c r="D459" i="3"/>
  <c r="B459" i="3"/>
  <c r="C459" i="3" s="1"/>
  <c r="A459" i="3"/>
  <c r="J458" i="3"/>
  <c r="I458" i="3"/>
  <c r="H458" i="3" a="1"/>
  <c r="H458" i="3" s="1"/>
  <c r="G458" i="3" a="1"/>
  <c r="G458" i="3" s="1"/>
  <c r="M458" i="3" s="1"/>
  <c r="E458" i="3" a="1"/>
  <c r="E458" i="3" s="1"/>
  <c r="D458" i="3"/>
  <c r="B458" i="3"/>
  <c r="C458" i="3" s="1"/>
  <c r="A458" i="3"/>
  <c r="J457" i="3"/>
  <c r="I457" i="3"/>
  <c r="H457" i="3" a="1"/>
  <c r="H457" i="3" s="1"/>
  <c r="G457" i="3" a="1"/>
  <c r="G457" i="3" s="1"/>
  <c r="M457" i="3" s="1"/>
  <c r="E457" i="3" a="1"/>
  <c r="E457" i="3" s="1"/>
  <c r="D457" i="3"/>
  <c r="B457" i="3"/>
  <c r="C457" i="3" s="1"/>
  <c r="A457" i="3"/>
  <c r="J456" i="3"/>
  <c r="L456" i="3" s="1"/>
  <c r="I456" i="3"/>
  <c r="H456" i="3" a="1"/>
  <c r="H456" i="3" s="1"/>
  <c r="G456" i="3" a="1"/>
  <c r="G456" i="3" s="1"/>
  <c r="M456" i="3" s="1"/>
  <c r="E456" i="3" a="1"/>
  <c r="E456" i="3" s="1"/>
  <c r="D456" i="3"/>
  <c r="B456" i="3"/>
  <c r="C456" i="3" s="1"/>
  <c r="A456" i="3"/>
  <c r="J455" i="3"/>
  <c r="L455" i="3" s="1"/>
  <c r="I455" i="3"/>
  <c r="H455" i="3" a="1"/>
  <c r="H455" i="3" s="1"/>
  <c r="G455" i="3" a="1"/>
  <c r="G455" i="3" s="1"/>
  <c r="M455" i="3" s="1"/>
  <c r="E455" i="3" a="1"/>
  <c r="E455" i="3" s="1"/>
  <c r="D455" i="3"/>
  <c r="B455" i="3"/>
  <c r="C455" i="3" s="1"/>
  <c r="A455" i="3"/>
  <c r="J454" i="3"/>
  <c r="I454" i="3"/>
  <c r="H454" i="3" a="1"/>
  <c r="H454" i="3" s="1"/>
  <c r="G454" i="3" a="1"/>
  <c r="G454" i="3" s="1"/>
  <c r="M454" i="3" s="1"/>
  <c r="E454" i="3" a="1"/>
  <c r="E454" i="3" s="1"/>
  <c r="D454" i="3"/>
  <c r="B454" i="3"/>
  <c r="C454" i="3" s="1"/>
  <c r="A454" i="3"/>
  <c r="J453" i="3"/>
  <c r="I453" i="3"/>
  <c r="H453" i="3" a="1"/>
  <c r="H453" i="3" s="1"/>
  <c r="G453" i="3" a="1"/>
  <c r="G453" i="3" s="1"/>
  <c r="M453" i="3" s="1"/>
  <c r="E453" i="3" a="1"/>
  <c r="E453" i="3" s="1"/>
  <c r="D453" i="3"/>
  <c r="B453" i="3"/>
  <c r="C453" i="3" s="1"/>
  <c r="A453" i="3"/>
  <c r="J452" i="3"/>
  <c r="L452" i="3" s="1"/>
  <c r="I452" i="3"/>
  <c r="H452" i="3" a="1"/>
  <c r="H452" i="3" s="1"/>
  <c r="G452" i="3" a="1"/>
  <c r="G452" i="3" s="1"/>
  <c r="M452" i="3" s="1"/>
  <c r="E452" i="3" a="1"/>
  <c r="E452" i="3" s="1"/>
  <c r="D452" i="3"/>
  <c r="B452" i="3"/>
  <c r="C452" i="3" s="1"/>
  <c r="A452" i="3"/>
  <c r="J451" i="3"/>
  <c r="I451" i="3"/>
  <c r="H451" i="3" a="1"/>
  <c r="H451" i="3" s="1"/>
  <c r="G451" i="3" a="1"/>
  <c r="G451" i="3" s="1"/>
  <c r="M451" i="3" s="1"/>
  <c r="E451" i="3" a="1"/>
  <c r="E451" i="3" s="1"/>
  <c r="D451" i="3"/>
  <c r="B451" i="3"/>
  <c r="C451" i="3" s="1"/>
  <c r="A451" i="3"/>
  <c r="J450" i="3"/>
  <c r="I450" i="3"/>
  <c r="H450" i="3" a="1"/>
  <c r="H450" i="3" s="1"/>
  <c r="G450" i="3" a="1"/>
  <c r="G450" i="3" s="1"/>
  <c r="M450" i="3" s="1"/>
  <c r="E450" i="3" a="1"/>
  <c r="E450" i="3" s="1"/>
  <c r="D450" i="3"/>
  <c r="B450" i="3"/>
  <c r="C450" i="3" s="1"/>
  <c r="A450" i="3"/>
  <c r="J449" i="3"/>
  <c r="I449" i="3"/>
  <c r="H449" i="3" a="1"/>
  <c r="H449" i="3" s="1"/>
  <c r="G449" i="3" a="1"/>
  <c r="G449" i="3" s="1"/>
  <c r="M449" i="3" s="1"/>
  <c r="E449" i="3" a="1"/>
  <c r="E449" i="3" s="1"/>
  <c r="D449" i="3"/>
  <c r="B449" i="3"/>
  <c r="C449" i="3" s="1"/>
  <c r="A449" i="3"/>
  <c r="J448" i="3"/>
  <c r="L448" i="3" s="1"/>
  <c r="I448" i="3"/>
  <c r="H448" i="3" a="1"/>
  <c r="H448" i="3" s="1"/>
  <c r="G448" i="3" a="1"/>
  <c r="G448" i="3" s="1"/>
  <c r="M448" i="3" s="1"/>
  <c r="E448" i="3" a="1"/>
  <c r="E448" i="3" s="1"/>
  <c r="D448" i="3"/>
  <c r="B448" i="3"/>
  <c r="C448" i="3" s="1"/>
  <c r="A448" i="3"/>
  <c r="J447" i="3"/>
  <c r="I447" i="3"/>
  <c r="H447" i="3" a="1"/>
  <c r="H447" i="3" s="1"/>
  <c r="G447" i="3" a="1"/>
  <c r="G447" i="3" s="1"/>
  <c r="M447" i="3" s="1"/>
  <c r="E447" i="3" a="1"/>
  <c r="E447" i="3" s="1"/>
  <c r="D447" i="3"/>
  <c r="B447" i="3"/>
  <c r="C447" i="3" s="1"/>
  <c r="A447" i="3"/>
  <c r="J446" i="3"/>
  <c r="I446" i="3"/>
  <c r="H446" i="3" a="1"/>
  <c r="H446" i="3" s="1"/>
  <c r="G446" i="3" a="1"/>
  <c r="G446" i="3" s="1"/>
  <c r="M446" i="3" s="1"/>
  <c r="E446" i="3" a="1"/>
  <c r="E446" i="3" s="1"/>
  <c r="D446" i="3"/>
  <c r="B446" i="3"/>
  <c r="C446" i="3" s="1"/>
  <c r="A446" i="3"/>
  <c r="J445" i="3"/>
  <c r="L445" i="3" s="1"/>
  <c r="I445" i="3"/>
  <c r="H445" i="3" a="1"/>
  <c r="H445" i="3" s="1"/>
  <c r="G445" i="3" a="1"/>
  <c r="G445" i="3" s="1"/>
  <c r="M445" i="3" s="1"/>
  <c r="E445" i="3" a="1"/>
  <c r="E445" i="3" s="1"/>
  <c r="D445" i="3"/>
  <c r="B445" i="3"/>
  <c r="C445" i="3" s="1"/>
  <c r="A445" i="3"/>
  <c r="J444" i="3"/>
  <c r="I444" i="3"/>
  <c r="H444" i="3" a="1"/>
  <c r="H444" i="3" s="1"/>
  <c r="G444" i="3" a="1"/>
  <c r="G444" i="3" s="1"/>
  <c r="M444" i="3" s="1"/>
  <c r="E444" i="3" a="1"/>
  <c r="E444" i="3" s="1"/>
  <c r="D444" i="3"/>
  <c r="B444" i="3"/>
  <c r="C444" i="3" s="1"/>
  <c r="A444" i="3"/>
  <c r="J443" i="3"/>
  <c r="L443" i="3" s="1"/>
  <c r="I443" i="3"/>
  <c r="H443" i="3" a="1"/>
  <c r="H443" i="3" s="1"/>
  <c r="G443" i="3" a="1"/>
  <c r="G443" i="3" s="1"/>
  <c r="M443" i="3" s="1"/>
  <c r="E443" i="3" a="1"/>
  <c r="E443" i="3" s="1"/>
  <c r="D443" i="3"/>
  <c r="B443" i="3"/>
  <c r="C443" i="3" s="1"/>
  <c r="A443" i="3"/>
  <c r="J442" i="3"/>
  <c r="L442" i="3" s="1"/>
  <c r="I442" i="3"/>
  <c r="H442" i="3" a="1"/>
  <c r="H442" i="3" s="1"/>
  <c r="G442" i="3" a="1"/>
  <c r="G442" i="3" s="1"/>
  <c r="M442" i="3" s="1"/>
  <c r="E442" i="3" a="1"/>
  <c r="E442" i="3" s="1"/>
  <c r="D442" i="3"/>
  <c r="B442" i="3"/>
  <c r="C442" i="3" s="1"/>
  <c r="A442" i="3"/>
  <c r="J441" i="3"/>
  <c r="L441" i="3" s="1"/>
  <c r="I441" i="3"/>
  <c r="H441" i="3" a="1"/>
  <c r="H441" i="3" s="1"/>
  <c r="G441" i="3" a="1"/>
  <c r="G441" i="3" s="1"/>
  <c r="M441" i="3" s="1"/>
  <c r="E441" i="3" a="1"/>
  <c r="E441" i="3" s="1"/>
  <c r="D441" i="3"/>
  <c r="B441" i="3"/>
  <c r="C441" i="3" s="1"/>
  <c r="A441" i="3"/>
  <c r="J440" i="3"/>
  <c r="I440" i="3"/>
  <c r="H440" i="3" a="1"/>
  <c r="H440" i="3" s="1"/>
  <c r="G440" i="3" a="1"/>
  <c r="G440" i="3" s="1"/>
  <c r="M440" i="3" s="1"/>
  <c r="E440" i="3" a="1"/>
  <c r="E440" i="3" s="1"/>
  <c r="D440" i="3"/>
  <c r="B440" i="3"/>
  <c r="C440" i="3" s="1"/>
  <c r="A440" i="3"/>
  <c r="J439" i="3"/>
  <c r="L439" i="3" s="1"/>
  <c r="I439" i="3"/>
  <c r="H439" i="3" a="1"/>
  <c r="H439" i="3" s="1"/>
  <c r="G439" i="3" a="1"/>
  <c r="G439" i="3" s="1"/>
  <c r="M439" i="3" s="1"/>
  <c r="E439" i="3" a="1"/>
  <c r="E439" i="3" s="1"/>
  <c r="D439" i="3"/>
  <c r="B439" i="3"/>
  <c r="C439" i="3" s="1"/>
  <c r="A439" i="3"/>
  <c r="J438" i="3"/>
  <c r="I438" i="3"/>
  <c r="H438" i="3" a="1"/>
  <c r="H438" i="3" s="1"/>
  <c r="G438" i="3" a="1"/>
  <c r="G438" i="3" s="1"/>
  <c r="M438" i="3" s="1"/>
  <c r="E438" i="3" a="1"/>
  <c r="E438" i="3" s="1"/>
  <c r="D438" i="3"/>
  <c r="B438" i="3"/>
  <c r="C438" i="3" s="1"/>
  <c r="A438" i="3"/>
  <c r="J437" i="3"/>
  <c r="L437" i="3" s="1"/>
  <c r="I437" i="3"/>
  <c r="H437" i="3" a="1"/>
  <c r="H437" i="3" s="1"/>
  <c r="G437" i="3" a="1"/>
  <c r="G437" i="3" s="1"/>
  <c r="M437" i="3" s="1"/>
  <c r="E437" i="3" a="1"/>
  <c r="E437" i="3" s="1"/>
  <c r="D437" i="3"/>
  <c r="B437" i="3"/>
  <c r="C437" i="3" s="1"/>
  <c r="A437" i="3"/>
  <c r="J436" i="3"/>
  <c r="L436" i="3" s="1"/>
  <c r="I436" i="3"/>
  <c r="H436" i="3" a="1"/>
  <c r="H436" i="3" s="1"/>
  <c r="G436" i="3" a="1"/>
  <c r="G436" i="3" s="1"/>
  <c r="M436" i="3" s="1"/>
  <c r="E436" i="3" a="1"/>
  <c r="E436" i="3" s="1"/>
  <c r="D436" i="3"/>
  <c r="B436" i="3"/>
  <c r="C436" i="3" s="1"/>
  <c r="A436" i="3"/>
  <c r="J435" i="3"/>
  <c r="L435" i="3" s="1"/>
  <c r="I435" i="3"/>
  <c r="H435" i="3" a="1"/>
  <c r="H435" i="3" s="1"/>
  <c r="G435" i="3" a="1"/>
  <c r="G435" i="3" s="1"/>
  <c r="M435" i="3" s="1"/>
  <c r="E435" i="3" a="1"/>
  <c r="E435" i="3" s="1"/>
  <c r="D435" i="3"/>
  <c r="B435" i="3"/>
  <c r="C435" i="3" s="1"/>
  <c r="A435" i="3"/>
  <c r="J434" i="3"/>
  <c r="I434" i="3"/>
  <c r="H434" i="3" a="1"/>
  <c r="H434" i="3" s="1"/>
  <c r="G434" i="3" a="1"/>
  <c r="G434" i="3" s="1"/>
  <c r="M434" i="3" s="1"/>
  <c r="E434" i="3" a="1"/>
  <c r="E434" i="3" s="1"/>
  <c r="D434" i="3"/>
  <c r="B434" i="3"/>
  <c r="C434" i="3" s="1"/>
  <c r="A434" i="3"/>
  <c r="J433" i="3"/>
  <c r="I433" i="3"/>
  <c r="H433" i="3" a="1"/>
  <c r="H433" i="3" s="1"/>
  <c r="G433" i="3" a="1"/>
  <c r="G433" i="3" s="1"/>
  <c r="M433" i="3" s="1"/>
  <c r="E433" i="3" a="1"/>
  <c r="E433" i="3" s="1"/>
  <c r="D433" i="3"/>
  <c r="B433" i="3"/>
  <c r="C433" i="3" s="1"/>
  <c r="A433" i="3"/>
  <c r="J432" i="3"/>
  <c r="L432" i="3" s="1"/>
  <c r="I432" i="3"/>
  <c r="H432" i="3" a="1"/>
  <c r="H432" i="3" s="1"/>
  <c r="G432" i="3" a="1"/>
  <c r="G432" i="3" s="1"/>
  <c r="M432" i="3" s="1"/>
  <c r="E432" i="3" a="1"/>
  <c r="E432" i="3" s="1"/>
  <c r="D432" i="3"/>
  <c r="B432" i="3"/>
  <c r="C432" i="3" s="1"/>
  <c r="A432" i="3"/>
  <c r="J431" i="3"/>
  <c r="L431" i="3" s="1"/>
  <c r="I431" i="3"/>
  <c r="H431" i="3" a="1"/>
  <c r="H431" i="3" s="1"/>
  <c r="G431" i="3" a="1"/>
  <c r="G431" i="3" s="1"/>
  <c r="M431" i="3" s="1"/>
  <c r="E431" i="3" a="1"/>
  <c r="E431" i="3" s="1"/>
  <c r="D431" i="3"/>
  <c r="B431" i="3"/>
  <c r="C431" i="3" s="1"/>
  <c r="A431" i="3"/>
  <c r="J430" i="3"/>
  <c r="L430" i="3" s="1"/>
  <c r="I430" i="3"/>
  <c r="H430" i="3" a="1"/>
  <c r="H430" i="3" s="1"/>
  <c r="G430" i="3" a="1"/>
  <c r="G430" i="3" s="1"/>
  <c r="M430" i="3" s="1"/>
  <c r="E430" i="3" a="1"/>
  <c r="E430" i="3" s="1"/>
  <c r="D430" i="3"/>
  <c r="B430" i="3"/>
  <c r="C430" i="3" s="1"/>
  <c r="A430" i="3"/>
  <c r="J429" i="3"/>
  <c r="I429" i="3"/>
  <c r="H429" i="3" a="1"/>
  <c r="H429" i="3" s="1"/>
  <c r="G429" i="3" a="1"/>
  <c r="G429" i="3" s="1"/>
  <c r="M429" i="3" s="1"/>
  <c r="E429" i="3" a="1"/>
  <c r="E429" i="3" s="1"/>
  <c r="D429" i="3"/>
  <c r="B429" i="3"/>
  <c r="C429" i="3" s="1"/>
  <c r="A429" i="3"/>
  <c r="J428" i="3"/>
  <c r="I428" i="3"/>
  <c r="H428" i="3" a="1"/>
  <c r="H428" i="3" s="1"/>
  <c r="G428" i="3" a="1"/>
  <c r="G428" i="3" s="1"/>
  <c r="M428" i="3" s="1"/>
  <c r="E428" i="3" a="1"/>
  <c r="E428" i="3" s="1"/>
  <c r="D428" i="3"/>
  <c r="B428" i="3"/>
  <c r="C428" i="3" s="1"/>
  <c r="A428" i="3"/>
  <c r="J427" i="3"/>
  <c r="L427" i="3" s="1"/>
  <c r="I427" i="3"/>
  <c r="H427" i="3" a="1"/>
  <c r="H427" i="3" s="1"/>
  <c r="G427" i="3" a="1"/>
  <c r="G427" i="3" s="1"/>
  <c r="M427" i="3" s="1"/>
  <c r="E427" i="3" a="1"/>
  <c r="E427" i="3" s="1"/>
  <c r="D427" i="3"/>
  <c r="B427" i="3"/>
  <c r="C427" i="3" s="1"/>
  <c r="A427" i="3"/>
  <c r="J426" i="3"/>
  <c r="L426" i="3" s="1"/>
  <c r="I426" i="3"/>
  <c r="H426" i="3" a="1"/>
  <c r="H426" i="3" s="1"/>
  <c r="G426" i="3" a="1"/>
  <c r="G426" i="3" s="1"/>
  <c r="M426" i="3" s="1"/>
  <c r="E426" i="3" a="1"/>
  <c r="E426" i="3" s="1"/>
  <c r="D426" i="3"/>
  <c r="B426" i="3"/>
  <c r="C426" i="3" s="1"/>
  <c r="A426" i="3"/>
  <c r="J425" i="3"/>
  <c r="I425" i="3"/>
  <c r="H425" i="3" a="1"/>
  <c r="H425" i="3" s="1"/>
  <c r="G425" i="3" a="1"/>
  <c r="G425" i="3" s="1"/>
  <c r="M425" i="3" s="1"/>
  <c r="E425" i="3" a="1"/>
  <c r="E425" i="3" s="1"/>
  <c r="D425" i="3"/>
  <c r="B425" i="3"/>
  <c r="C425" i="3" s="1"/>
  <c r="A425" i="3"/>
  <c r="J424" i="3"/>
  <c r="L424" i="3" s="1"/>
  <c r="I424" i="3"/>
  <c r="H424" i="3" a="1"/>
  <c r="H424" i="3" s="1"/>
  <c r="G424" i="3" a="1"/>
  <c r="G424" i="3" s="1"/>
  <c r="M424" i="3" s="1"/>
  <c r="E424" i="3" a="1"/>
  <c r="E424" i="3" s="1"/>
  <c r="D424" i="3"/>
  <c r="B424" i="3"/>
  <c r="C424" i="3" s="1"/>
  <c r="A424" i="3"/>
  <c r="J423" i="3"/>
  <c r="L423" i="3" s="1"/>
  <c r="I423" i="3"/>
  <c r="H423" i="3" a="1"/>
  <c r="H423" i="3" s="1"/>
  <c r="G423" i="3" a="1"/>
  <c r="G423" i="3" s="1"/>
  <c r="M423" i="3" s="1"/>
  <c r="E423" i="3" a="1"/>
  <c r="E423" i="3" s="1"/>
  <c r="D423" i="3"/>
  <c r="B423" i="3"/>
  <c r="C423" i="3" s="1"/>
  <c r="A423" i="3"/>
  <c r="J422" i="3"/>
  <c r="I422" i="3"/>
  <c r="H422" i="3" a="1"/>
  <c r="H422" i="3" s="1"/>
  <c r="G422" i="3" a="1"/>
  <c r="G422" i="3" s="1"/>
  <c r="M422" i="3" s="1"/>
  <c r="E422" i="3" a="1"/>
  <c r="E422" i="3" s="1"/>
  <c r="D422" i="3"/>
  <c r="B422" i="3"/>
  <c r="C422" i="3" s="1"/>
  <c r="A422" i="3"/>
  <c r="J421" i="3"/>
  <c r="I421" i="3"/>
  <c r="H421" i="3" a="1"/>
  <c r="H421" i="3" s="1"/>
  <c r="G421" i="3" a="1"/>
  <c r="G421" i="3" s="1"/>
  <c r="M421" i="3" s="1"/>
  <c r="E421" i="3" a="1"/>
  <c r="E421" i="3" s="1"/>
  <c r="D421" i="3"/>
  <c r="B421" i="3"/>
  <c r="C421" i="3" s="1"/>
  <c r="A421" i="3"/>
  <c r="J420" i="3"/>
  <c r="I420" i="3"/>
  <c r="H420" i="3" a="1"/>
  <c r="H420" i="3" s="1"/>
  <c r="G420" i="3" a="1"/>
  <c r="G420" i="3" s="1"/>
  <c r="M420" i="3" s="1"/>
  <c r="E420" i="3" a="1"/>
  <c r="E420" i="3" s="1"/>
  <c r="D420" i="3"/>
  <c r="B420" i="3"/>
  <c r="C420" i="3" s="1"/>
  <c r="A420" i="3"/>
  <c r="J419" i="3"/>
  <c r="I419" i="3"/>
  <c r="H419" i="3" a="1"/>
  <c r="H419" i="3" s="1"/>
  <c r="G419" i="3" a="1"/>
  <c r="G419" i="3" s="1"/>
  <c r="M419" i="3" s="1"/>
  <c r="E419" i="3" a="1"/>
  <c r="E419" i="3" s="1"/>
  <c r="D419" i="3"/>
  <c r="B419" i="3"/>
  <c r="C419" i="3" s="1"/>
  <c r="A419" i="3"/>
  <c r="J418" i="3"/>
  <c r="L418" i="3" s="1"/>
  <c r="I418" i="3"/>
  <c r="H418" i="3" a="1"/>
  <c r="H418" i="3" s="1"/>
  <c r="G418" i="3" a="1"/>
  <c r="G418" i="3" s="1"/>
  <c r="M418" i="3" s="1"/>
  <c r="E418" i="3" a="1"/>
  <c r="E418" i="3" s="1"/>
  <c r="D418" i="3"/>
  <c r="B418" i="3"/>
  <c r="C418" i="3" s="1"/>
  <c r="A418" i="3"/>
  <c r="J417" i="3"/>
  <c r="I417" i="3"/>
  <c r="H417" i="3" a="1"/>
  <c r="H417" i="3" s="1"/>
  <c r="G417" i="3" a="1"/>
  <c r="G417" i="3" s="1"/>
  <c r="M417" i="3" s="1"/>
  <c r="E417" i="3" a="1"/>
  <c r="E417" i="3" s="1"/>
  <c r="D417" i="3"/>
  <c r="B417" i="3"/>
  <c r="C417" i="3" s="1"/>
  <c r="A417" i="3"/>
  <c r="J416" i="3"/>
  <c r="I416" i="3"/>
  <c r="H416" i="3" a="1"/>
  <c r="H416" i="3" s="1"/>
  <c r="G416" i="3" a="1"/>
  <c r="G416" i="3" s="1"/>
  <c r="M416" i="3" s="1"/>
  <c r="E416" i="3" a="1"/>
  <c r="E416" i="3" s="1"/>
  <c r="D416" i="3"/>
  <c r="B416" i="3"/>
  <c r="C416" i="3" s="1"/>
  <c r="A416" i="3"/>
  <c r="J415" i="3"/>
  <c r="I415" i="3"/>
  <c r="H415" i="3" a="1"/>
  <c r="H415" i="3" s="1"/>
  <c r="G415" i="3" a="1"/>
  <c r="G415" i="3" s="1"/>
  <c r="M415" i="3" s="1"/>
  <c r="E415" i="3" a="1"/>
  <c r="E415" i="3" s="1"/>
  <c r="D415" i="3"/>
  <c r="B415" i="3"/>
  <c r="C415" i="3" s="1"/>
  <c r="A415" i="3"/>
  <c r="J414" i="3"/>
  <c r="I414" i="3"/>
  <c r="H414" i="3" a="1"/>
  <c r="H414" i="3" s="1"/>
  <c r="G414" i="3" a="1"/>
  <c r="G414" i="3" s="1"/>
  <c r="M414" i="3" s="1"/>
  <c r="E414" i="3" a="1"/>
  <c r="E414" i="3" s="1"/>
  <c r="D414" i="3"/>
  <c r="B414" i="3"/>
  <c r="C414" i="3" s="1"/>
  <c r="A414" i="3"/>
  <c r="J413" i="3"/>
  <c r="I413" i="3"/>
  <c r="H413" i="3" a="1"/>
  <c r="H413" i="3" s="1"/>
  <c r="G413" i="3" a="1"/>
  <c r="G413" i="3" s="1"/>
  <c r="M413" i="3" s="1"/>
  <c r="E413" i="3" a="1"/>
  <c r="E413" i="3" s="1"/>
  <c r="D413" i="3"/>
  <c r="B413" i="3"/>
  <c r="C413" i="3" s="1"/>
  <c r="A413" i="3"/>
  <c r="J412" i="3"/>
  <c r="I412" i="3"/>
  <c r="H412" i="3" a="1"/>
  <c r="H412" i="3" s="1"/>
  <c r="G412" i="3" a="1"/>
  <c r="G412" i="3" s="1"/>
  <c r="M412" i="3" s="1"/>
  <c r="E412" i="3" a="1"/>
  <c r="E412" i="3" s="1"/>
  <c r="D412" i="3"/>
  <c r="B412" i="3"/>
  <c r="C412" i="3" s="1"/>
  <c r="A412" i="3"/>
  <c r="J411" i="3"/>
  <c r="L411" i="3" s="1"/>
  <c r="I411" i="3"/>
  <c r="H411" i="3" a="1"/>
  <c r="H411" i="3" s="1"/>
  <c r="G411" i="3" a="1"/>
  <c r="G411" i="3" s="1"/>
  <c r="M411" i="3" s="1"/>
  <c r="E411" i="3" a="1"/>
  <c r="E411" i="3" s="1"/>
  <c r="D411" i="3"/>
  <c r="B411" i="3"/>
  <c r="C411" i="3" s="1"/>
  <c r="A411" i="3"/>
  <c r="J410" i="3"/>
  <c r="L410" i="3" s="1"/>
  <c r="I410" i="3"/>
  <c r="H410" i="3" a="1"/>
  <c r="H410" i="3" s="1"/>
  <c r="G410" i="3" a="1"/>
  <c r="G410" i="3" s="1"/>
  <c r="M410" i="3" s="1"/>
  <c r="E410" i="3" a="1"/>
  <c r="E410" i="3" s="1"/>
  <c r="D410" i="3"/>
  <c r="B410" i="3"/>
  <c r="C410" i="3" s="1"/>
  <c r="A410" i="3"/>
  <c r="J409" i="3"/>
  <c r="L409" i="3" s="1"/>
  <c r="I409" i="3"/>
  <c r="H409" i="3" a="1"/>
  <c r="H409" i="3" s="1"/>
  <c r="G409" i="3" a="1"/>
  <c r="G409" i="3" s="1"/>
  <c r="M409" i="3" s="1"/>
  <c r="E409" i="3" a="1"/>
  <c r="E409" i="3" s="1"/>
  <c r="D409" i="3"/>
  <c r="B409" i="3"/>
  <c r="C409" i="3" s="1"/>
  <c r="A409" i="3"/>
  <c r="J408" i="3"/>
  <c r="I408" i="3"/>
  <c r="H408" i="3" a="1"/>
  <c r="H408" i="3" s="1"/>
  <c r="G408" i="3" a="1"/>
  <c r="G408" i="3" s="1"/>
  <c r="M408" i="3" s="1"/>
  <c r="E408" i="3" a="1"/>
  <c r="E408" i="3" s="1"/>
  <c r="D408" i="3"/>
  <c r="B408" i="3"/>
  <c r="C408" i="3" s="1"/>
  <c r="A408" i="3"/>
  <c r="J407" i="3"/>
  <c r="I407" i="3"/>
  <c r="H407" i="3" a="1"/>
  <c r="H407" i="3" s="1"/>
  <c r="G407" i="3" a="1"/>
  <c r="G407" i="3" s="1"/>
  <c r="M407" i="3" s="1"/>
  <c r="E407" i="3" a="1"/>
  <c r="E407" i="3" s="1"/>
  <c r="D407" i="3"/>
  <c r="B407" i="3"/>
  <c r="C407" i="3" s="1"/>
  <c r="A407" i="3"/>
  <c r="J406" i="3"/>
  <c r="L406" i="3" s="1"/>
  <c r="I406" i="3"/>
  <c r="H406" i="3" a="1"/>
  <c r="H406" i="3" s="1"/>
  <c r="G406" i="3" a="1"/>
  <c r="G406" i="3" s="1"/>
  <c r="M406" i="3" s="1"/>
  <c r="E406" i="3" a="1"/>
  <c r="E406" i="3" s="1"/>
  <c r="D406" i="3"/>
  <c r="B406" i="3"/>
  <c r="C406" i="3" s="1"/>
  <c r="A406" i="3"/>
  <c r="J405" i="3"/>
  <c r="I405" i="3"/>
  <c r="H405" i="3" a="1"/>
  <c r="H405" i="3" s="1"/>
  <c r="G405" i="3" a="1"/>
  <c r="G405" i="3" s="1"/>
  <c r="M405" i="3" s="1"/>
  <c r="E405" i="3" a="1"/>
  <c r="E405" i="3" s="1"/>
  <c r="D405" i="3"/>
  <c r="B405" i="3"/>
  <c r="C405" i="3" s="1"/>
  <c r="A405" i="3"/>
  <c r="J404" i="3"/>
  <c r="I404" i="3"/>
  <c r="H404" i="3" a="1"/>
  <c r="H404" i="3" s="1"/>
  <c r="G404" i="3" a="1"/>
  <c r="G404" i="3" s="1"/>
  <c r="M404" i="3" s="1"/>
  <c r="E404" i="3" a="1"/>
  <c r="E404" i="3" s="1"/>
  <c r="D404" i="3"/>
  <c r="B404" i="3"/>
  <c r="C404" i="3" s="1"/>
  <c r="A404" i="3"/>
  <c r="J403" i="3"/>
  <c r="L403" i="3" s="1"/>
  <c r="I403" i="3"/>
  <c r="H403" i="3" a="1"/>
  <c r="H403" i="3" s="1"/>
  <c r="G403" i="3" a="1"/>
  <c r="G403" i="3" s="1"/>
  <c r="M403" i="3" s="1"/>
  <c r="E403" i="3" a="1"/>
  <c r="E403" i="3" s="1"/>
  <c r="D403" i="3"/>
  <c r="B403" i="3"/>
  <c r="C403" i="3" s="1"/>
  <c r="A403" i="3"/>
  <c r="J402" i="3"/>
  <c r="I402" i="3"/>
  <c r="H402" i="3" a="1"/>
  <c r="H402" i="3" s="1"/>
  <c r="G402" i="3" a="1"/>
  <c r="G402" i="3" s="1"/>
  <c r="M402" i="3" s="1"/>
  <c r="E402" i="3" a="1"/>
  <c r="E402" i="3" s="1"/>
  <c r="D402" i="3"/>
  <c r="B402" i="3"/>
  <c r="C402" i="3" s="1"/>
  <c r="A402" i="3"/>
  <c r="J401" i="3"/>
  <c r="L401" i="3" s="1"/>
  <c r="I401" i="3"/>
  <c r="H401" i="3" a="1"/>
  <c r="H401" i="3" s="1"/>
  <c r="G401" i="3" a="1"/>
  <c r="G401" i="3" s="1"/>
  <c r="M401" i="3" s="1"/>
  <c r="E401" i="3" a="1"/>
  <c r="E401" i="3" s="1"/>
  <c r="D401" i="3"/>
  <c r="B401" i="3"/>
  <c r="C401" i="3" s="1"/>
  <c r="A401" i="3"/>
  <c r="J400" i="3"/>
  <c r="L400" i="3" s="1"/>
  <c r="I400" i="3"/>
  <c r="H400" i="3" a="1"/>
  <c r="H400" i="3" s="1"/>
  <c r="G400" i="3" a="1"/>
  <c r="G400" i="3" s="1"/>
  <c r="M400" i="3" s="1"/>
  <c r="E400" i="3" a="1"/>
  <c r="E400" i="3" s="1"/>
  <c r="D400" i="3"/>
  <c r="B400" i="3"/>
  <c r="C400" i="3" s="1"/>
  <c r="A400" i="3"/>
  <c r="J399" i="3"/>
  <c r="L399" i="3" s="1"/>
  <c r="I399" i="3"/>
  <c r="H399" i="3" a="1"/>
  <c r="H399" i="3" s="1"/>
  <c r="G399" i="3" a="1"/>
  <c r="G399" i="3" s="1"/>
  <c r="M399" i="3" s="1"/>
  <c r="E399" i="3" a="1"/>
  <c r="E399" i="3" s="1"/>
  <c r="D399" i="3"/>
  <c r="B399" i="3"/>
  <c r="C399" i="3" s="1"/>
  <c r="A399" i="3"/>
  <c r="J398" i="3"/>
  <c r="I398" i="3"/>
  <c r="H398" i="3" a="1"/>
  <c r="H398" i="3" s="1"/>
  <c r="G398" i="3" a="1"/>
  <c r="G398" i="3" s="1"/>
  <c r="M398" i="3" s="1"/>
  <c r="E398" i="3" a="1"/>
  <c r="E398" i="3" s="1"/>
  <c r="D398" i="3"/>
  <c r="B398" i="3"/>
  <c r="C398" i="3" s="1"/>
  <c r="A398" i="3"/>
  <c r="J397" i="3"/>
  <c r="L397" i="3" s="1"/>
  <c r="I397" i="3"/>
  <c r="H397" i="3" a="1"/>
  <c r="H397" i="3" s="1"/>
  <c r="G397" i="3" a="1"/>
  <c r="G397" i="3" s="1"/>
  <c r="M397" i="3" s="1"/>
  <c r="E397" i="3" a="1"/>
  <c r="E397" i="3" s="1"/>
  <c r="D397" i="3"/>
  <c r="B397" i="3"/>
  <c r="C397" i="3" s="1"/>
  <c r="A397" i="3"/>
  <c r="J396" i="3"/>
  <c r="L396" i="3" s="1"/>
  <c r="I396" i="3"/>
  <c r="H396" i="3" a="1"/>
  <c r="H396" i="3" s="1"/>
  <c r="G396" i="3" a="1"/>
  <c r="G396" i="3" s="1"/>
  <c r="M396" i="3" s="1"/>
  <c r="E396" i="3" a="1"/>
  <c r="E396" i="3" s="1"/>
  <c r="D396" i="3"/>
  <c r="B396" i="3"/>
  <c r="C396" i="3" s="1"/>
  <c r="A396" i="3"/>
  <c r="J395" i="3"/>
  <c r="L395" i="3" s="1"/>
  <c r="I395" i="3"/>
  <c r="H395" i="3" a="1"/>
  <c r="H395" i="3" s="1"/>
  <c r="G395" i="3" a="1"/>
  <c r="G395" i="3" s="1"/>
  <c r="M395" i="3" s="1"/>
  <c r="E395" i="3" a="1"/>
  <c r="E395" i="3" s="1"/>
  <c r="D395" i="3"/>
  <c r="B395" i="3"/>
  <c r="C395" i="3" s="1"/>
  <c r="A395" i="3"/>
  <c r="J394" i="3"/>
  <c r="L394" i="3" s="1"/>
  <c r="I394" i="3"/>
  <c r="H394" i="3" a="1"/>
  <c r="H394" i="3" s="1"/>
  <c r="G394" i="3" a="1"/>
  <c r="G394" i="3" s="1"/>
  <c r="M394" i="3" s="1"/>
  <c r="E394" i="3" a="1"/>
  <c r="E394" i="3" s="1"/>
  <c r="D394" i="3"/>
  <c r="B394" i="3"/>
  <c r="C394" i="3" s="1"/>
  <c r="A394" i="3"/>
  <c r="J393" i="3"/>
  <c r="I393" i="3"/>
  <c r="H393" i="3" a="1"/>
  <c r="H393" i="3" s="1"/>
  <c r="G393" i="3" a="1"/>
  <c r="G393" i="3" s="1"/>
  <c r="M393" i="3" s="1"/>
  <c r="E393" i="3" a="1"/>
  <c r="E393" i="3" s="1"/>
  <c r="D393" i="3"/>
  <c r="B393" i="3"/>
  <c r="C393" i="3" s="1"/>
  <c r="A393" i="3"/>
  <c r="J392" i="3"/>
  <c r="I392" i="3"/>
  <c r="H392" i="3" a="1"/>
  <c r="H392" i="3" s="1"/>
  <c r="G392" i="3" a="1"/>
  <c r="G392" i="3" s="1"/>
  <c r="M392" i="3" s="1"/>
  <c r="E392" i="3" a="1"/>
  <c r="E392" i="3" s="1"/>
  <c r="D392" i="3"/>
  <c r="B392" i="3"/>
  <c r="C392" i="3" s="1"/>
  <c r="A392" i="3"/>
  <c r="J391" i="3"/>
  <c r="L391" i="3" s="1"/>
  <c r="I391" i="3"/>
  <c r="H391" i="3" a="1"/>
  <c r="H391" i="3" s="1"/>
  <c r="G391" i="3" a="1"/>
  <c r="G391" i="3" s="1"/>
  <c r="M391" i="3" s="1"/>
  <c r="E391" i="3" a="1"/>
  <c r="E391" i="3" s="1"/>
  <c r="D391" i="3"/>
  <c r="B391" i="3"/>
  <c r="C391" i="3" s="1"/>
  <c r="A391" i="3"/>
  <c r="J390" i="3"/>
  <c r="L390" i="3" s="1"/>
  <c r="I390" i="3"/>
  <c r="H390" i="3" a="1"/>
  <c r="H390" i="3" s="1"/>
  <c r="G390" i="3" a="1"/>
  <c r="G390" i="3" s="1"/>
  <c r="M390" i="3" s="1"/>
  <c r="E390" i="3" a="1"/>
  <c r="E390" i="3" s="1"/>
  <c r="D390" i="3"/>
  <c r="B390" i="3"/>
  <c r="C390" i="3" s="1"/>
  <c r="A390" i="3"/>
  <c r="J389" i="3"/>
  <c r="I389" i="3"/>
  <c r="H389" i="3" a="1"/>
  <c r="H389" i="3" s="1"/>
  <c r="G389" i="3" a="1"/>
  <c r="G389" i="3" s="1"/>
  <c r="M389" i="3" s="1"/>
  <c r="E389" i="3" a="1"/>
  <c r="E389" i="3" s="1"/>
  <c r="D389" i="3"/>
  <c r="B389" i="3"/>
  <c r="C389" i="3" s="1"/>
  <c r="A389" i="3"/>
  <c r="J388" i="3"/>
  <c r="L388" i="3" s="1"/>
  <c r="I388" i="3"/>
  <c r="H388" i="3" a="1"/>
  <c r="H388" i="3" s="1"/>
  <c r="G388" i="3" a="1"/>
  <c r="G388" i="3" s="1"/>
  <c r="M388" i="3" s="1"/>
  <c r="E388" i="3" a="1"/>
  <c r="E388" i="3" s="1"/>
  <c r="D388" i="3"/>
  <c r="B388" i="3"/>
  <c r="C388" i="3" s="1"/>
  <c r="A388" i="3"/>
  <c r="J387" i="3"/>
  <c r="I387" i="3"/>
  <c r="H387" i="3" a="1"/>
  <c r="H387" i="3" s="1"/>
  <c r="G387" i="3" a="1"/>
  <c r="G387" i="3" s="1"/>
  <c r="M387" i="3" s="1"/>
  <c r="E387" i="3" a="1"/>
  <c r="E387" i="3" s="1"/>
  <c r="D387" i="3"/>
  <c r="B387" i="3"/>
  <c r="C387" i="3" s="1"/>
  <c r="A387" i="3"/>
  <c r="J386" i="3"/>
  <c r="I386" i="3"/>
  <c r="H386" i="3" a="1"/>
  <c r="H386" i="3" s="1"/>
  <c r="G386" i="3" a="1"/>
  <c r="G386" i="3" s="1"/>
  <c r="M386" i="3" s="1"/>
  <c r="E386" i="3" a="1"/>
  <c r="E386" i="3" s="1"/>
  <c r="D386" i="3"/>
  <c r="B386" i="3"/>
  <c r="C386" i="3" s="1"/>
  <c r="A386" i="3"/>
  <c r="J385" i="3"/>
  <c r="L385" i="3" s="1"/>
  <c r="I385" i="3"/>
  <c r="H385" i="3" a="1"/>
  <c r="H385" i="3" s="1"/>
  <c r="G385" i="3" a="1"/>
  <c r="G385" i="3" s="1"/>
  <c r="M385" i="3" s="1"/>
  <c r="E385" i="3" a="1"/>
  <c r="E385" i="3" s="1"/>
  <c r="D385" i="3"/>
  <c r="B385" i="3"/>
  <c r="C385" i="3" s="1"/>
  <c r="A385" i="3"/>
  <c r="J384" i="3"/>
  <c r="L384" i="3" s="1"/>
  <c r="I384" i="3"/>
  <c r="H384" i="3" a="1"/>
  <c r="H384" i="3" s="1"/>
  <c r="G384" i="3" a="1"/>
  <c r="G384" i="3" s="1"/>
  <c r="M384" i="3" s="1"/>
  <c r="E384" i="3" a="1"/>
  <c r="E384" i="3" s="1"/>
  <c r="D384" i="3"/>
  <c r="B384" i="3"/>
  <c r="C384" i="3" s="1"/>
  <c r="A384" i="3"/>
  <c r="J383" i="3"/>
  <c r="I383" i="3"/>
  <c r="H383" i="3" a="1"/>
  <c r="H383" i="3" s="1"/>
  <c r="G383" i="3" a="1"/>
  <c r="G383" i="3" s="1"/>
  <c r="M383" i="3" s="1"/>
  <c r="E383" i="3" a="1"/>
  <c r="E383" i="3" s="1"/>
  <c r="D383" i="3"/>
  <c r="B383" i="3"/>
  <c r="C383" i="3" s="1"/>
  <c r="A383" i="3"/>
  <c r="J382" i="3"/>
  <c r="L382" i="3" s="1"/>
  <c r="I382" i="3"/>
  <c r="H382" i="3" a="1"/>
  <c r="H382" i="3" s="1"/>
  <c r="G382" i="3" a="1"/>
  <c r="G382" i="3" s="1"/>
  <c r="M382" i="3" s="1"/>
  <c r="E382" i="3" a="1"/>
  <c r="E382" i="3" s="1"/>
  <c r="D382" i="3"/>
  <c r="B382" i="3"/>
  <c r="C382" i="3" s="1"/>
  <c r="A382" i="3"/>
  <c r="J381" i="3"/>
  <c r="I381" i="3"/>
  <c r="H381" i="3" a="1"/>
  <c r="H381" i="3" s="1"/>
  <c r="G381" i="3" a="1"/>
  <c r="G381" i="3" s="1"/>
  <c r="M381" i="3" s="1"/>
  <c r="E381" i="3" a="1"/>
  <c r="E381" i="3" s="1"/>
  <c r="D381" i="3"/>
  <c r="B381" i="3"/>
  <c r="C381" i="3" s="1"/>
  <c r="A381" i="3"/>
  <c r="J380" i="3"/>
  <c r="I380" i="3"/>
  <c r="H380" i="3" a="1"/>
  <c r="H380" i="3" s="1"/>
  <c r="G380" i="3" a="1"/>
  <c r="G380" i="3" s="1"/>
  <c r="M380" i="3" s="1"/>
  <c r="E380" i="3" a="1"/>
  <c r="E380" i="3" s="1"/>
  <c r="D380" i="3"/>
  <c r="B380" i="3"/>
  <c r="C380" i="3" s="1"/>
  <c r="A380" i="3"/>
  <c r="J379" i="3"/>
  <c r="L379" i="3" s="1"/>
  <c r="I379" i="3"/>
  <c r="H379" i="3" a="1"/>
  <c r="H379" i="3" s="1"/>
  <c r="G379" i="3" a="1"/>
  <c r="G379" i="3" s="1"/>
  <c r="M379" i="3" s="1"/>
  <c r="E379" i="3" a="1"/>
  <c r="E379" i="3" s="1"/>
  <c r="D379" i="3"/>
  <c r="B379" i="3"/>
  <c r="C379" i="3" s="1"/>
  <c r="A379" i="3"/>
  <c r="J378" i="3"/>
  <c r="I378" i="3"/>
  <c r="H378" i="3" a="1"/>
  <c r="H378" i="3" s="1"/>
  <c r="G378" i="3" a="1"/>
  <c r="G378" i="3" s="1"/>
  <c r="M378" i="3" s="1"/>
  <c r="E378" i="3" a="1"/>
  <c r="E378" i="3" s="1"/>
  <c r="D378" i="3"/>
  <c r="B378" i="3"/>
  <c r="C378" i="3" s="1"/>
  <c r="A378" i="3"/>
  <c r="J377" i="3"/>
  <c r="I377" i="3"/>
  <c r="H377" i="3" a="1"/>
  <c r="H377" i="3" s="1"/>
  <c r="G377" i="3" a="1"/>
  <c r="G377" i="3" s="1"/>
  <c r="M377" i="3" s="1"/>
  <c r="E377" i="3" a="1"/>
  <c r="E377" i="3" s="1"/>
  <c r="D377" i="3"/>
  <c r="B377" i="3"/>
  <c r="C377" i="3" s="1"/>
  <c r="A377" i="3"/>
  <c r="J376" i="3"/>
  <c r="I376" i="3"/>
  <c r="H376" i="3" a="1"/>
  <c r="H376" i="3" s="1"/>
  <c r="G376" i="3" a="1"/>
  <c r="G376" i="3" s="1"/>
  <c r="M376" i="3" s="1"/>
  <c r="E376" i="3" a="1"/>
  <c r="E376" i="3" s="1"/>
  <c r="D376" i="3"/>
  <c r="B376" i="3"/>
  <c r="C376" i="3" s="1"/>
  <c r="A376" i="3"/>
  <c r="J375" i="3"/>
  <c r="L375" i="3" s="1"/>
  <c r="I375" i="3"/>
  <c r="H375" i="3" a="1"/>
  <c r="H375" i="3" s="1"/>
  <c r="G375" i="3" a="1"/>
  <c r="G375" i="3" s="1"/>
  <c r="M375" i="3" s="1"/>
  <c r="E375" i="3" a="1"/>
  <c r="E375" i="3" s="1"/>
  <c r="D375" i="3"/>
  <c r="B375" i="3"/>
  <c r="C375" i="3" s="1"/>
  <c r="A375" i="3"/>
  <c r="J374" i="3"/>
  <c r="L374" i="3" s="1"/>
  <c r="I374" i="3"/>
  <c r="H374" i="3" a="1"/>
  <c r="H374" i="3" s="1"/>
  <c r="G374" i="3" a="1"/>
  <c r="G374" i="3" s="1"/>
  <c r="M374" i="3" s="1"/>
  <c r="E374" i="3" a="1"/>
  <c r="E374" i="3" s="1"/>
  <c r="D374" i="3"/>
  <c r="B374" i="3"/>
  <c r="C374" i="3" s="1"/>
  <c r="A374" i="3"/>
  <c r="J373" i="3"/>
  <c r="L373" i="3" s="1"/>
  <c r="I373" i="3"/>
  <c r="H373" i="3" a="1"/>
  <c r="H373" i="3" s="1"/>
  <c r="G373" i="3" a="1"/>
  <c r="G373" i="3" s="1"/>
  <c r="M373" i="3" s="1"/>
  <c r="E373" i="3" a="1"/>
  <c r="E373" i="3" s="1"/>
  <c r="D373" i="3"/>
  <c r="B373" i="3"/>
  <c r="C373" i="3" s="1"/>
  <c r="A373" i="3"/>
  <c r="J372" i="3"/>
  <c r="L372" i="3" s="1"/>
  <c r="I372" i="3"/>
  <c r="H372" i="3" a="1"/>
  <c r="H372" i="3" s="1"/>
  <c r="G372" i="3" a="1"/>
  <c r="G372" i="3" s="1"/>
  <c r="M372" i="3" s="1"/>
  <c r="E372" i="3" a="1"/>
  <c r="E372" i="3" s="1"/>
  <c r="D372" i="3"/>
  <c r="B372" i="3"/>
  <c r="C372" i="3" s="1"/>
  <c r="A372" i="3"/>
  <c r="J371" i="3"/>
  <c r="I371" i="3"/>
  <c r="H371" i="3" a="1"/>
  <c r="H371" i="3" s="1"/>
  <c r="G371" i="3" a="1"/>
  <c r="G371" i="3" s="1"/>
  <c r="M371" i="3" s="1"/>
  <c r="E371" i="3" a="1"/>
  <c r="E371" i="3" s="1"/>
  <c r="D371" i="3"/>
  <c r="B371" i="3"/>
  <c r="C371" i="3" s="1"/>
  <c r="A371" i="3"/>
  <c r="J370" i="3"/>
  <c r="I370" i="3"/>
  <c r="H370" i="3" a="1"/>
  <c r="H370" i="3" s="1"/>
  <c r="G370" i="3" a="1"/>
  <c r="G370" i="3" s="1"/>
  <c r="M370" i="3" s="1"/>
  <c r="E370" i="3" a="1"/>
  <c r="E370" i="3" s="1"/>
  <c r="D370" i="3"/>
  <c r="B370" i="3"/>
  <c r="C370" i="3" s="1"/>
  <c r="A370" i="3"/>
  <c r="J369" i="3"/>
  <c r="I369" i="3"/>
  <c r="H369" i="3" a="1"/>
  <c r="H369" i="3" s="1"/>
  <c r="G369" i="3" a="1"/>
  <c r="G369" i="3" s="1"/>
  <c r="M369" i="3" s="1"/>
  <c r="E369" i="3" a="1"/>
  <c r="E369" i="3" s="1"/>
  <c r="D369" i="3"/>
  <c r="B369" i="3"/>
  <c r="C369" i="3" s="1"/>
  <c r="A369" i="3"/>
  <c r="J368" i="3"/>
  <c r="I368" i="3"/>
  <c r="H368" i="3" a="1"/>
  <c r="H368" i="3" s="1"/>
  <c r="G368" i="3" a="1"/>
  <c r="G368" i="3" s="1"/>
  <c r="M368" i="3" s="1"/>
  <c r="E368" i="3" a="1"/>
  <c r="E368" i="3" s="1"/>
  <c r="D368" i="3"/>
  <c r="B368" i="3"/>
  <c r="C368" i="3" s="1"/>
  <c r="A368" i="3"/>
  <c r="J367" i="3"/>
  <c r="L367" i="3" s="1"/>
  <c r="I367" i="3"/>
  <c r="H367" i="3" a="1"/>
  <c r="H367" i="3" s="1"/>
  <c r="G367" i="3" a="1"/>
  <c r="G367" i="3" s="1"/>
  <c r="M367" i="3" s="1"/>
  <c r="E367" i="3" a="1"/>
  <c r="E367" i="3" s="1"/>
  <c r="D367" i="3"/>
  <c r="B367" i="3"/>
  <c r="C367" i="3" s="1"/>
  <c r="A367" i="3"/>
  <c r="J366" i="3"/>
  <c r="L366" i="3" s="1"/>
  <c r="I366" i="3"/>
  <c r="H366" i="3" a="1"/>
  <c r="H366" i="3" s="1"/>
  <c r="G366" i="3" a="1"/>
  <c r="G366" i="3" s="1"/>
  <c r="M366" i="3" s="1"/>
  <c r="E366" i="3" a="1"/>
  <c r="E366" i="3" s="1"/>
  <c r="D366" i="3"/>
  <c r="B366" i="3"/>
  <c r="C366" i="3" s="1"/>
  <c r="A366" i="3"/>
  <c r="J365" i="3"/>
  <c r="I365" i="3"/>
  <c r="H365" i="3" a="1"/>
  <c r="H365" i="3" s="1"/>
  <c r="G365" i="3" a="1"/>
  <c r="G365" i="3" s="1"/>
  <c r="M365" i="3" s="1"/>
  <c r="E365" i="3" a="1"/>
  <c r="E365" i="3" s="1"/>
  <c r="D365" i="3"/>
  <c r="B365" i="3"/>
  <c r="C365" i="3" s="1"/>
  <c r="A365" i="3"/>
  <c r="J364" i="3"/>
  <c r="L364" i="3" s="1"/>
  <c r="I364" i="3"/>
  <c r="H364" i="3" a="1"/>
  <c r="H364" i="3" s="1"/>
  <c r="G364" i="3" a="1"/>
  <c r="G364" i="3" s="1"/>
  <c r="M364" i="3" s="1"/>
  <c r="E364" i="3" a="1"/>
  <c r="E364" i="3" s="1"/>
  <c r="D364" i="3"/>
  <c r="B364" i="3"/>
  <c r="C364" i="3" s="1"/>
  <c r="A364" i="3"/>
  <c r="J363" i="3"/>
  <c r="L363" i="3" s="1"/>
  <c r="I363" i="3"/>
  <c r="H363" i="3" a="1"/>
  <c r="H363" i="3" s="1"/>
  <c r="G363" i="3" a="1"/>
  <c r="G363" i="3" s="1"/>
  <c r="M363" i="3" s="1"/>
  <c r="E363" i="3" a="1"/>
  <c r="E363" i="3" s="1"/>
  <c r="D363" i="3"/>
  <c r="B363" i="3"/>
  <c r="C363" i="3" s="1"/>
  <c r="A363" i="3"/>
  <c r="J362" i="3"/>
  <c r="I362" i="3"/>
  <c r="H362" i="3" a="1"/>
  <c r="H362" i="3" s="1"/>
  <c r="G362" i="3" a="1"/>
  <c r="G362" i="3" s="1"/>
  <c r="M362" i="3" s="1"/>
  <c r="E362" i="3" a="1"/>
  <c r="E362" i="3" s="1"/>
  <c r="D362" i="3"/>
  <c r="B362" i="3"/>
  <c r="C362" i="3" s="1"/>
  <c r="A362" i="3"/>
  <c r="J361" i="3"/>
  <c r="I361" i="3"/>
  <c r="H361" i="3" a="1"/>
  <c r="H361" i="3" s="1"/>
  <c r="G361" i="3" a="1"/>
  <c r="G361" i="3" s="1"/>
  <c r="M361" i="3" s="1"/>
  <c r="E361" i="3" a="1"/>
  <c r="E361" i="3" s="1"/>
  <c r="D361" i="3"/>
  <c r="B361" i="3"/>
  <c r="C361" i="3" s="1"/>
  <c r="A361" i="3"/>
  <c r="J360" i="3"/>
  <c r="I360" i="3"/>
  <c r="H360" i="3" a="1"/>
  <c r="H360" i="3" s="1"/>
  <c r="G360" i="3" a="1"/>
  <c r="G360" i="3" s="1"/>
  <c r="M360" i="3" s="1"/>
  <c r="E360" i="3" a="1"/>
  <c r="E360" i="3" s="1"/>
  <c r="D360" i="3"/>
  <c r="B360" i="3"/>
  <c r="C360" i="3" s="1"/>
  <c r="A360" i="3"/>
  <c r="J359" i="3"/>
  <c r="I359" i="3"/>
  <c r="H359" i="3" a="1"/>
  <c r="H359" i="3" s="1"/>
  <c r="G359" i="3" a="1"/>
  <c r="G359" i="3" s="1"/>
  <c r="M359" i="3" s="1"/>
  <c r="E359" i="3" a="1"/>
  <c r="E359" i="3" s="1"/>
  <c r="D359" i="3"/>
  <c r="B359" i="3"/>
  <c r="C359" i="3" s="1"/>
  <c r="A359" i="3"/>
  <c r="J358" i="3"/>
  <c r="L358" i="3" s="1"/>
  <c r="I358" i="3"/>
  <c r="H358" i="3" a="1"/>
  <c r="H358" i="3" s="1"/>
  <c r="G358" i="3" a="1"/>
  <c r="G358" i="3" s="1"/>
  <c r="M358" i="3" s="1"/>
  <c r="E358" i="3" a="1"/>
  <c r="E358" i="3" s="1"/>
  <c r="D358" i="3"/>
  <c r="B358" i="3"/>
  <c r="C358" i="3" s="1"/>
  <c r="A358" i="3"/>
  <c r="J357" i="3"/>
  <c r="I357" i="3"/>
  <c r="H357" i="3" a="1"/>
  <c r="H357" i="3" s="1"/>
  <c r="G357" i="3" a="1"/>
  <c r="G357" i="3" s="1"/>
  <c r="M357" i="3" s="1"/>
  <c r="E357" i="3" a="1"/>
  <c r="E357" i="3" s="1"/>
  <c r="D357" i="3"/>
  <c r="B357" i="3"/>
  <c r="C357" i="3" s="1"/>
  <c r="A357" i="3"/>
  <c r="J356" i="3"/>
  <c r="I356" i="3"/>
  <c r="H356" i="3" a="1"/>
  <c r="H356" i="3" s="1"/>
  <c r="G356" i="3" a="1"/>
  <c r="G356" i="3" s="1"/>
  <c r="M356" i="3" s="1"/>
  <c r="E356" i="3" a="1"/>
  <c r="E356" i="3" s="1"/>
  <c r="D356" i="3"/>
  <c r="B356" i="3"/>
  <c r="C356" i="3" s="1"/>
  <c r="A356" i="3"/>
  <c r="J355" i="3"/>
  <c r="L355" i="3" s="1"/>
  <c r="I355" i="3"/>
  <c r="H355" i="3" a="1"/>
  <c r="H355" i="3" s="1"/>
  <c r="G355" i="3" a="1"/>
  <c r="G355" i="3" s="1"/>
  <c r="M355" i="3" s="1"/>
  <c r="E355" i="3" a="1"/>
  <c r="E355" i="3" s="1"/>
  <c r="D355" i="3"/>
  <c r="B355" i="3"/>
  <c r="C355" i="3" s="1"/>
  <c r="A355" i="3"/>
  <c r="J354" i="3"/>
  <c r="I354" i="3"/>
  <c r="H354" i="3" a="1"/>
  <c r="H354" i="3" s="1"/>
  <c r="G354" i="3" a="1"/>
  <c r="G354" i="3" s="1"/>
  <c r="M354" i="3" s="1"/>
  <c r="E354" i="3" a="1"/>
  <c r="E354" i="3" s="1"/>
  <c r="D354" i="3"/>
  <c r="B354" i="3"/>
  <c r="C354" i="3" s="1"/>
  <c r="A354" i="3"/>
  <c r="J353" i="3"/>
  <c r="I353" i="3"/>
  <c r="H353" i="3" a="1"/>
  <c r="H353" i="3" s="1"/>
  <c r="G353" i="3" a="1"/>
  <c r="G353" i="3" s="1"/>
  <c r="M353" i="3" s="1"/>
  <c r="E353" i="3" a="1"/>
  <c r="E353" i="3" s="1"/>
  <c r="D353" i="3"/>
  <c r="B353" i="3"/>
  <c r="C353" i="3" s="1"/>
  <c r="A353" i="3"/>
  <c r="J352" i="3"/>
  <c r="I352" i="3"/>
  <c r="H352" i="3" a="1"/>
  <c r="H352" i="3" s="1"/>
  <c r="G352" i="3" a="1"/>
  <c r="G352" i="3" s="1"/>
  <c r="M352" i="3" s="1"/>
  <c r="E352" i="3" a="1"/>
  <c r="E352" i="3" s="1"/>
  <c r="D352" i="3"/>
  <c r="B352" i="3"/>
  <c r="C352" i="3" s="1"/>
  <c r="A352" i="3"/>
  <c r="J351" i="3"/>
  <c r="L351" i="3" s="1"/>
  <c r="I351" i="3"/>
  <c r="H351" i="3" a="1"/>
  <c r="H351" i="3" s="1"/>
  <c r="G351" i="3" a="1"/>
  <c r="G351" i="3" s="1"/>
  <c r="M351" i="3" s="1"/>
  <c r="E351" i="3" a="1"/>
  <c r="E351" i="3" s="1"/>
  <c r="D351" i="3"/>
  <c r="B351" i="3"/>
  <c r="C351" i="3" s="1"/>
  <c r="A351" i="3"/>
  <c r="J350" i="3"/>
  <c r="I350" i="3"/>
  <c r="H350" i="3" a="1"/>
  <c r="H350" i="3" s="1"/>
  <c r="G350" i="3" a="1"/>
  <c r="G350" i="3" s="1"/>
  <c r="M350" i="3" s="1"/>
  <c r="E350" i="3" a="1"/>
  <c r="E350" i="3" s="1"/>
  <c r="D350" i="3"/>
  <c r="B350" i="3"/>
  <c r="C350" i="3" s="1"/>
  <c r="A350" i="3"/>
  <c r="J349" i="3"/>
  <c r="I349" i="3"/>
  <c r="H349" i="3" a="1"/>
  <c r="H349" i="3" s="1"/>
  <c r="G349" i="3" a="1"/>
  <c r="G349" i="3" s="1"/>
  <c r="M349" i="3" s="1"/>
  <c r="E349" i="3" a="1"/>
  <c r="E349" i="3" s="1"/>
  <c r="D349" i="3"/>
  <c r="B349" i="3"/>
  <c r="C349" i="3" s="1"/>
  <c r="A349" i="3"/>
  <c r="J348" i="3"/>
  <c r="I348" i="3"/>
  <c r="H348" i="3" a="1"/>
  <c r="H348" i="3" s="1"/>
  <c r="G348" i="3" a="1"/>
  <c r="G348" i="3" s="1"/>
  <c r="M348" i="3" s="1"/>
  <c r="E348" i="3" a="1"/>
  <c r="E348" i="3" s="1"/>
  <c r="D348" i="3"/>
  <c r="B348" i="3"/>
  <c r="C348" i="3" s="1"/>
  <c r="A348" i="3"/>
  <c r="J347" i="3"/>
  <c r="L347" i="3" s="1"/>
  <c r="I347" i="3"/>
  <c r="H347" i="3" a="1"/>
  <c r="H347" i="3" s="1"/>
  <c r="G347" i="3" a="1"/>
  <c r="G347" i="3" s="1"/>
  <c r="M347" i="3" s="1"/>
  <c r="E347" i="3" a="1"/>
  <c r="E347" i="3" s="1"/>
  <c r="D347" i="3"/>
  <c r="B347" i="3"/>
  <c r="C347" i="3" s="1"/>
  <c r="A347" i="3"/>
  <c r="J346" i="3"/>
  <c r="L346" i="3" s="1"/>
  <c r="I346" i="3"/>
  <c r="H346" i="3" a="1"/>
  <c r="H346" i="3" s="1"/>
  <c r="G346" i="3" a="1"/>
  <c r="G346" i="3" s="1"/>
  <c r="M346" i="3" s="1"/>
  <c r="E346" i="3" a="1"/>
  <c r="E346" i="3" s="1"/>
  <c r="D346" i="3"/>
  <c r="B346" i="3"/>
  <c r="C346" i="3" s="1"/>
  <c r="A346" i="3"/>
  <c r="J345" i="3"/>
  <c r="L345" i="3" s="1"/>
  <c r="I345" i="3"/>
  <c r="H345" i="3" a="1"/>
  <c r="H345" i="3" s="1"/>
  <c r="G345" i="3" a="1"/>
  <c r="G345" i="3" s="1"/>
  <c r="M345" i="3" s="1"/>
  <c r="E345" i="3" a="1"/>
  <c r="E345" i="3" s="1"/>
  <c r="D345" i="3"/>
  <c r="B345" i="3"/>
  <c r="C345" i="3" s="1"/>
  <c r="A345" i="3"/>
  <c r="J344" i="3"/>
  <c r="I344" i="3"/>
  <c r="H344" i="3" a="1"/>
  <c r="H344" i="3" s="1"/>
  <c r="G344" i="3" a="1"/>
  <c r="G344" i="3" s="1"/>
  <c r="M344" i="3" s="1"/>
  <c r="E344" i="3" a="1"/>
  <c r="E344" i="3" s="1"/>
  <c r="D344" i="3"/>
  <c r="B344" i="3"/>
  <c r="C344" i="3" s="1"/>
  <c r="A344" i="3"/>
  <c r="J343" i="3"/>
  <c r="I343" i="3"/>
  <c r="H343" i="3" a="1"/>
  <c r="H343" i="3" s="1"/>
  <c r="G343" i="3" a="1"/>
  <c r="G343" i="3" s="1"/>
  <c r="M343" i="3" s="1"/>
  <c r="E343" i="3" a="1"/>
  <c r="E343" i="3" s="1"/>
  <c r="D343" i="3"/>
  <c r="B343" i="3"/>
  <c r="C343" i="3" s="1"/>
  <c r="A343" i="3"/>
  <c r="J342" i="3"/>
  <c r="I342" i="3"/>
  <c r="H342" i="3" a="1"/>
  <c r="H342" i="3" s="1"/>
  <c r="G342" i="3" a="1"/>
  <c r="G342" i="3" s="1"/>
  <c r="M342" i="3" s="1"/>
  <c r="E342" i="3" a="1"/>
  <c r="E342" i="3" s="1"/>
  <c r="D342" i="3"/>
  <c r="B342" i="3"/>
  <c r="C342" i="3" s="1"/>
  <c r="A342" i="3"/>
  <c r="J341" i="3"/>
  <c r="L341" i="3" s="1"/>
  <c r="I341" i="3"/>
  <c r="H341" i="3" a="1"/>
  <c r="H341" i="3" s="1"/>
  <c r="G341" i="3" a="1"/>
  <c r="G341" i="3" s="1"/>
  <c r="M341" i="3" s="1"/>
  <c r="E341" i="3" a="1"/>
  <c r="E341" i="3" s="1"/>
  <c r="D341" i="3"/>
  <c r="B341" i="3"/>
  <c r="C341" i="3" s="1"/>
  <c r="A341" i="3"/>
  <c r="J340" i="3"/>
  <c r="I340" i="3"/>
  <c r="H340" i="3" a="1"/>
  <c r="H340" i="3" s="1"/>
  <c r="G340" i="3" a="1"/>
  <c r="G340" i="3" s="1"/>
  <c r="M340" i="3" s="1"/>
  <c r="E340" i="3" a="1"/>
  <c r="E340" i="3" s="1"/>
  <c r="D340" i="3"/>
  <c r="B340" i="3"/>
  <c r="C340" i="3" s="1"/>
  <c r="A340" i="3"/>
  <c r="J339" i="3"/>
  <c r="I339" i="3"/>
  <c r="H339" i="3" a="1"/>
  <c r="H339" i="3" s="1"/>
  <c r="G339" i="3" a="1"/>
  <c r="G339" i="3" s="1"/>
  <c r="M339" i="3" s="1"/>
  <c r="E339" i="3" a="1"/>
  <c r="E339" i="3" s="1"/>
  <c r="D339" i="3"/>
  <c r="B339" i="3"/>
  <c r="C339" i="3" s="1"/>
  <c r="A339" i="3"/>
  <c r="J338" i="3"/>
  <c r="I338" i="3"/>
  <c r="H338" i="3" a="1"/>
  <c r="H338" i="3" s="1"/>
  <c r="G338" i="3" a="1"/>
  <c r="G338" i="3" s="1"/>
  <c r="M338" i="3" s="1"/>
  <c r="E338" i="3" a="1"/>
  <c r="E338" i="3" s="1"/>
  <c r="D338" i="3"/>
  <c r="B338" i="3"/>
  <c r="C338" i="3" s="1"/>
  <c r="A338" i="3"/>
  <c r="J337" i="3"/>
  <c r="I337" i="3"/>
  <c r="H337" i="3" a="1"/>
  <c r="H337" i="3" s="1"/>
  <c r="G337" i="3" a="1"/>
  <c r="G337" i="3" s="1"/>
  <c r="M337" i="3" s="1"/>
  <c r="E337" i="3" a="1"/>
  <c r="E337" i="3" s="1"/>
  <c r="D337" i="3"/>
  <c r="B337" i="3"/>
  <c r="C337" i="3" s="1"/>
  <c r="A337" i="3"/>
  <c r="J336" i="3"/>
  <c r="L336" i="3" s="1"/>
  <c r="I336" i="3"/>
  <c r="H336" i="3" a="1"/>
  <c r="H336" i="3" s="1"/>
  <c r="G336" i="3" a="1"/>
  <c r="G336" i="3" s="1"/>
  <c r="M336" i="3" s="1"/>
  <c r="E336" i="3" a="1"/>
  <c r="E336" i="3" s="1"/>
  <c r="D336" i="3"/>
  <c r="B336" i="3"/>
  <c r="C336" i="3" s="1"/>
  <c r="A336" i="3"/>
  <c r="J335" i="3"/>
  <c r="I335" i="3"/>
  <c r="H335" i="3" a="1"/>
  <c r="H335" i="3" s="1"/>
  <c r="G335" i="3" a="1"/>
  <c r="G335" i="3" s="1"/>
  <c r="M335" i="3" s="1"/>
  <c r="E335" i="3" a="1"/>
  <c r="E335" i="3" s="1"/>
  <c r="D335" i="3"/>
  <c r="B335" i="3"/>
  <c r="C335" i="3" s="1"/>
  <c r="A335" i="3"/>
  <c r="J334" i="3"/>
  <c r="L334" i="3" s="1"/>
  <c r="I334" i="3"/>
  <c r="H334" i="3" a="1"/>
  <c r="H334" i="3" s="1"/>
  <c r="G334" i="3" a="1"/>
  <c r="G334" i="3" s="1"/>
  <c r="M334" i="3" s="1"/>
  <c r="E334" i="3" a="1"/>
  <c r="E334" i="3" s="1"/>
  <c r="D334" i="3"/>
  <c r="B334" i="3"/>
  <c r="C334" i="3" s="1"/>
  <c r="A334" i="3"/>
  <c r="J333" i="3"/>
  <c r="I333" i="3"/>
  <c r="H333" i="3" a="1"/>
  <c r="H333" i="3" s="1"/>
  <c r="G333" i="3" a="1"/>
  <c r="G333" i="3" s="1"/>
  <c r="M333" i="3" s="1"/>
  <c r="E333" i="3" a="1"/>
  <c r="E333" i="3" s="1"/>
  <c r="D333" i="3"/>
  <c r="B333" i="3"/>
  <c r="C333" i="3" s="1"/>
  <c r="A333" i="3"/>
  <c r="J332" i="3"/>
  <c r="I332" i="3"/>
  <c r="H332" i="3" a="1"/>
  <c r="H332" i="3" s="1"/>
  <c r="G332" i="3" a="1"/>
  <c r="G332" i="3" s="1"/>
  <c r="M332" i="3" s="1"/>
  <c r="E332" i="3" a="1"/>
  <c r="E332" i="3" s="1"/>
  <c r="D332" i="3"/>
  <c r="B332" i="3"/>
  <c r="C332" i="3" s="1"/>
  <c r="A332" i="3"/>
  <c r="J331" i="3"/>
  <c r="L331" i="3" s="1"/>
  <c r="I331" i="3"/>
  <c r="H331" i="3" a="1"/>
  <c r="H331" i="3" s="1"/>
  <c r="G331" i="3" a="1"/>
  <c r="G331" i="3" s="1"/>
  <c r="M331" i="3" s="1"/>
  <c r="E331" i="3" a="1"/>
  <c r="E331" i="3" s="1"/>
  <c r="D331" i="3"/>
  <c r="B331" i="3"/>
  <c r="C331" i="3" s="1"/>
  <c r="A331" i="3"/>
  <c r="J330" i="3"/>
  <c r="L330" i="3" s="1"/>
  <c r="I330" i="3"/>
  <c r="H330" i="3" a="1"/>
  <c r="H330" i="3" s="1"/>
  <c r="G330" i="3" a="1"/>
  <c r="G330" i="3" s="1"/>
  <c r="M330" i="3" s="1"/>
  <c r="E330" i="3" a="1"/>
  <c r="E330" i="3" s="1"/>
  <c r="D330" i="3"/>
  <c r="B330" i="3"/>
  <c r="C330" i="3" s="1"/>
  <c r="A330" i="3"/>
  <c r="J329" i="3"/>
  <c r="I329" i="3"/>
  <c r="H329" i="3" a="1"/>
  <c r="H329" i="3" s="1"/>
  <c r="G329" i="3" a="1"/>
  <c r="G329" i="3" s="1"/>
  <c r="M329" i="3" s="1"/>
  <c r="E329" i="3" a="1"/>
  <c r="E329" i="3" s="1"/>
  <c r="D329" i="3"/>
  <c r="B329" i="3"/>
  <c r="C329" i="3" s="1"/>
  <c r="A329" i="3"/>
  <c r="J328" i="3"/>
  <c r="I328" i="3"/>
  <c r="H328" i="3" a="1"/>
  <c r="H328" i="3" s="1"/>
  <c r="G328" i="3" a="1"/>
  <c r="G328" i="3" s="1"/>
  <c r="M328" i="3" s="1"/>
  <c r="E328" i="3" a="1"/>
  <c r="E328" i="3" s="1"/>
  <c r="D328" i="3"/>
  <c r="B328" i="3"/>
  <c r="C328" i="3" s="1"/>
  <c r="A328" i="3"/>
  <c r="J327" i="3"/>
  <c r="I327" i="3"/>
  <c r="H327" i="3" a="1"/>
  <c r="H327" i="3" s="1"/>
  <c r="G327" i="3" a="1"/>
  <c r="G327" i="3" s="1"/>
  <c r="M327" i="3" s="1"/>
  <c r="E327" i="3" a="1"/>
  <c r="E327" i="3" s="1"/>
  <c r="D327" i="3"/>
  <c r="B327" i="3"/>
  <c r="C327" i="3" s="1"/>
  <c r="A327" i="3"/>
  <c r="J326" i="3"/>
  <c r="I326" i="3"/>
  <c r="H326" i="3" a="1"/>
  <c r="H326" i="3" s="1"/>
  <c r="G326" i="3" a="1"/>
  <c r="G326" i="3" s="1"/>
  <c r="M326" i="3" s="1"/>
  <c r="E326" i="3" a="1"/>
  <c r="E326" i="3" s="1"/>
  <c r="D326" i="3"/>
  <c r="B326" i="3"/>
  <c r="C326" i="3" s="1"/>
  <c r="A326" i="3"/>
  <c r="J325" i="3"/>
  <c r="I325" i="3"/>
  <c r="H325" i="3" a="1"/>
  <c r="H325" i="3" s="1"/>
  <c r="G325" i="3" a="1"/>
  <c r="G325" i="3" s="1"/>
  <c r="M325" i="3" s="1"/>
  <c r="E325" i="3" a="1"/>
  <c r="E325" i="3" s="1"/>
  <c r="D325" i="3"/>
  <c r="B325" i="3"/>
  <c r="C325" i="3" s="1"/>
  <c r="A325" i="3"/>
  <c r="J324" i="3"/>
  <c r="I324" i="3"/>
  <c r="H324" i="3" a="1"/>
  <c r="H324" i="3" s="1"/>
  <c r="G324" i="3" a="1"/>
  <c r="G324" i="3" s="1"/>
  <c r="M324" i="3" s="1"/>
  <c r="E324" i="3" a="1"/>
  <c r="E324" i="3" s="1"/>
  <c r="D324" i="3"/>
  <c r="B324" i="3"/>
  <c r="C324" i="3" s="1"/>
  <c r="A324" i="3"/>
  <c r="J323" i="3"/>
  <c r="L323" i="3" s="1"/>
  <c r="I323" i="3"/>
  <c r="H323" i="3" a="1"/>
  <c r="H323" i="3" s="1"/>
  <c r="G323" i="3" a="1"/>
  <c r="G323" i="3" s="1"/>
  <c r="M323" i="3" s="1"/>
  <c r="E323" i="3" a="1"/>
  <c r="E323" i="3" s="1"/>
  <c r="D323" i="3"/>
  <c r="B323" i="3"/>
  <c r="C323" i="3" s="1"/>
  <c r="A323" i="3"/>
  <c r="J322" i="3"/>
  <c r="I322" i="3"/>
  <c r="H322" i="3" a="1"/>
  <c r="H322" i="3" s="1"/>
  <c r="G322" i="3" a="1"/>
  <c r="G322" i="3" s="1"/>
  <c r="M322" i="3" s="1"/>
  <c r="E322" i="3" a="1"/>
  <c r="E322" i="3" s="1"/>
  <c r="D322" i="3"/>
  <c r="B322" i="3"/>
  <c r="C322" i="3" s="1"/>
  <c r="A322" i="3"/>
  <c r="J321" i="3"/>
  <c r="I321" i="3"/>
  <c r="H321" i="3" a="1"/>
  <c r="H321" i="3" s="1"/>
  <c r="G321" i="3" a="1"/>
  <c r="G321" i="3" s="1"/>
  <c r="M321" i="3" s="1"/>
  <c r="E321" i="3" a="1"/>
  <c r="E321" i="3" s="1"/>
  <c r="D321" i="3"/>
  <c r="B321" i="3"/>
  <c r="C321" i="3" s="1"/>
  <c r="A321" i="3"/>
  <c r="J320" i="3"/>
  <c r="I320" i="3"/>
  <c r="H320" i="3" a="1"/>
  <c r="H320" i="3" s="1"/>
  <c r="G320" i="3" a="1"/>
  <c r="G320" i="3" s="1"/>
  <c r="M320" i="3" s="1"/>
  <c r="E320" i="3" a="1"/>
  <c r="E320" i="3" s="1"/>
  <c r="D320" i="3"/>
  <c r="B320" i="3"/>
  <c r="C320" i="3" s="1"/>
  <c r="A320" i="3"/>
  <c r="J319" i="3"/>
  <c r="I319" i="3"/>
  <c r="H319" i="3" a="1"/>
  <c r="H319" i="3" s="1"/>
  <c r="G319" i="3" a="1"/>
  <c r="G319" i="3" s="1"/>
  <c r="M319" i="3" s="1"/>
  <c r="E319" i="3" a="1"/>
  <c r="E319" i="3" s="1"/>
  <c r="D319" i="3"/>
  <c r="B319" i="3"/>
  <c r="C319" i="3" s="1"/>
  <c r="A319" i="3"/>
  <c r="J318" i="3"/>
  <c r="I318" i="3"/>
  <c r="H318" i="3" a="1"/>
  <c r="H318" i="3" s="1"/>
  <c r="G318" i="3" a="1"/>
  <c r="G318" i="3" s="1"/>
  <c r="M318" i="3" s="1"/>
  <c r="E318" i="3" a="1"/>
  <c r="E318" i="3" s="1"/>
  <c r="D318" i="3"/>
  <c r="B318" i="3"/>
  <c r="C318" i="3" s="1"/>
  <c r="A318" i="3"/>
  <c r="J317" i="3"/>
  <c r="L317" i="3" s="1"/>
  <c r="I317" i="3"/>
  <c r="H317" i="3" a="1"/>
  <c r="H317" i="3" s="1"/>
  <c r="G317" i="3" a="1"/>
  <c r="G317" i="3" s="1"/>
  <c r="M317" i="3" s="1"/>
  <c r="E317" i="3" a="1"/>
  <c r="E317" i="3" s="1"/>
  <c r="D317" i="3"/>
  <c r="B317" i="3"/>
  <c r="C317" i="3" s="1"/>
  <c r="A317" i="3"/>
  <c r="J316" i="3"/>
  <c r="I316" i="3"/>
  <c r="H316" i="3" a="1"/>
  <c r="H316" i="3" s="1"/>
  <c r="G316" i="3" a="1"/>
  <c r="G316" i="3" s="1"/>
  <c r="M316" i="3" s="1"/>
  <c r="E316" i="3" a="1"/>
  <c r="E316" i="3" s="1"/>
  <c r="D316" i="3"/>
  <c r="B316" i="3"/>
  <c r="C316" i="3" s="1"/>
  <c r="A316" i="3"/>
  <c r="J315" i="3"/>
  <c r="L315" i="3" s="1"/>
  <c r="I315" i="3"/>
  <c r="H315" i="3" a="1"/>
  <c r="H315" i="3" s="1"/>
  <c r="G315" i="3" a="1"/>
  <c r="G315" i="3" s="1"/>
  <c r="M315" i="3" s="1"/>
  <c r="E315" i="3" a="1"/>
  <c r="E315" i="3" s="1"/>
  <c r="D315" i="3"/>
  <c r="B315" i="3"/>
  <c r="C315" i="3" s="1"/>
  <c r="A315" i="3"/>
  <c r="J314" i="3"/>
  <c r="L314" i="3" s="1"/>
  <c r="I314" i="3"/>
  <c r="H314" i="3" a="1"/>
  <c r="H314" i="3" s="1"/>
  <c r="G314" i="3" a="1"/>
  <c r="G314" i="3" s="1"/>
  <c r="M314" i="3" s="1"/>
  <c r="E314" i="3" a="1"/>
  <c r="E314" i="3" s="1"/>
  <c r="D314" i="3"/>
  <c r="B314" i="3"/>
  <c r="C314" i="3" s="1"/>
  <c r="A314" i="3"/>
  <c r="J313" i="3"/>
  <c r="I313" i="3"/>
  <c r="H313" i="3" a="1"/>
  <c r="H313" i="3" s="1"/>
  <c r="G313" i="3" a="1"/>
  <c r="G313" i="3" s="1"/>
  <c r="M313" i="3" s="1"/>
  <c r="E313" i="3" a="1"/>
  <c r="E313" i="3" s="1"/>
  <c r="D313" i="3"/>
  <c r="B313" i="3"/>
  <c r="C313" i="3" s="1"/>
  <c r="A313" i="3"/>
  <c r="J312" i="3"/>
  <c r="L312" i="3" s="1"/>
  <c r="I312" i="3"/>
  <c r="H312" i="3" a="1"/>
  <c r="H312" i="3" s="1"/>
  <c r="G312" i="3" a="1"/>
  <c r="G312" i="3" s="1"/>
  <c r="M312" i="3" s="1"/>
  <c r="E312" i="3" a="1"/>
  <c r="E312" i="3" s="1"/>
  <c r="D312" i="3"/>
  <c r="B312" i="3"/>
  <c r="C312" i="3" s="1"/>
  <c r="A312" i="3"/>
  <c r="J311" i="3"/>
  <c r="I311" i="3"/>
  <c r="H311" i="3" a="1"/>
  <c r="H311" i="3" s="1"/>
  <c r="G311" i="3" a="1"/>
  <c r="G311" i="3" s="1"/>
  <c r="M311" i="3" s="1"/>
  <c r="E311" i="3" a="1"/>
  <c r="E311" i="3" s="1"/>
  <c r="D311" i="3"/>
  <c r="B311" i="3"/>
  <c r="C311" i="3" s="1"/>
  <c r="A311" i="3"/>
  <c r="J310" i="3"/>
  <c r="I310" i="3"/>
  <c r="H310" i="3" a="1"/>
  <c r="H310" i="3" s="1"/>
  <c r="G310" i="3" a="1"/>
  <c r="G310" i="3" s="1"/>
  <c r="M310" i="3" s="1"/>
  <c r="E310" i="3" a="1"/>
  <c r="E310" i="3" s="1"/>
  <c r="D310" i="3"/>
  <c r="B310" i="3"/>
  <c r="C310" i="3" s="1"/>
  <c r="A310" i="3"/>
  <c r="J309" i="3"/>
  <c r="L309" i="3" s="1"/>
  <c r="I309" i="3"/>
  <c r="H309" i="3" a="1"/>
  <c r="H309" i="3" s="1"/>
  <c r="G309" i="3" a="1"/>
  <c r="G309" i="3" s="1"/>
  <c r="M309" i="3" s="1"/>
  <c r="E309" i="3" a="1"/>
  <c r="E309" i="3" s="1"/>
  <c r="D309" i="3"/>
  <c r="B309" i="3"/>
  <c r="C309" i="3" s="1"/>
  <c r="A309" i="3"/>
  <c r="J308" i="3"/>
  <c r="I308" i="3"/>
  <c r="H308" i="3" a="1"/>
  <c r="H308" i="3" s="1"/>
  <c r="G308" i="3" a="1"/>
  <c r="G308" i="3" s="1"/>
  <c r="M308" i="3" s="1"/>
  <c r="E308" i="3" a="1"/>
  <c r="E308" i="3" s="1"/>
  <c r="D308" i="3"/>
  <c r="B308" i="3"/>
  <c r="C308" i="3" s="1"/>
  <c r="A308" i="3"/>
  <c r="J307" i="3"/>
  <c r="L307" i="3" s="1"/>
  <c r="I307" i="3"/>
  <c r="H307" i="3" a="1"/>
  <c r="H307" i="3" s="1"/>
  <c r="G307" i="3" a="1"/>
  <c r="G307" i="3" s="1"/>
  <c r="M307" i="3" s="1"/>
  <c r="E307" i="3" a="1"/>
  <c r="E307" i="3" s="1"/>
  <c r="D307" i="3"/>
  <c r="B307" i="3"/>
  <c r="C307" i="3" s="1"/>
  <c r="A307" i="3"/>
  <c r="J306" i="3"/>
  <c r="I306" i="3"/>
  <c r="H306" i="3" a="1"/>
  <c r="H306" i="3" s="1"/>
  <c r="G306" i="3" a="1"/>
  <c r="G306" i="3" s="1"/>
  <c r="M306" i="3" s="1"/>
  <c r="E306" i="3" a="1"/>
  <c r="E306" i="3" s="1"/>
  <c r="D306" i="3"/>
  <c r="B306" i="3"/>
  <c r="C306" i="3" s="1"/>
  <c r="A306" i="3"/>
  <c r="J305" i="3"/>
  <c r="L305" i="3" s="1"/>
  <c r="I305" i="3"/>
  <c r="H305" i="3" a="1"/>
  <c r="H305" i="3" s="1"/>
  <c r="G305" i="3" a="1"/>
  <c r="G305" i="3" s="1"/>
  <c r="M305" i="3" s="1"/>
  <c r="E305" i="3" a="1"/>
  <c r="E305" i="3" s="1"/>
  <c r="D305" i="3"/>
  <c r="B305" i="3"/>
  <c r="C305" i="3" s="1"/>
  <c r="A305" i="3"/>
  <c r="J304" i="3"/>
  <c r="I304" i="3"/>
  <c r="H304" i="3" a="1"/>
  <c r="H304" i="3" s="1"/>
  <c r="G304" i="3" a="1"/>
  <c r="G304" i="3" s="1"/>
  <c r="M304" i="3" s="1"/>
  <c r="E304" i="3" a="1"/>
  <c r="E304" i="3" s="1"/>
  <c r="D304" i="3"/>
  <c r="B304" i="3"/>
  <c r="C304" i="3" s="1"/>
  <c r="A304" i="3"/>
  <c r="J303" i="3"/>
  <c r="L303" i="3" s="1"/>
  <c r="I303" i="3"/>
  <c r="H303" i="3" a="1"/>
  <c r="H303" i="3" s="1"/>
  <c r="G303" i="3" a="1"/>
  <c r="G303" i="3" s="1"/>
  <c r="M303" i="3" s="1"/>
  <c r="E303" i="3" a="1"/>
  <c r="E303" i="3" s="1"/>
  <c r="D303" i="3"/>
  <c r="B303" i="3"/>
  <c r="C303" i="3" s="1"/>
  <c r="A303" i="3"/>
  <c r="J302" i="3"/>
  <c r="I302" i="3"/>
  <c r="H302" i="3" a="1"/>
  <c r="H302" i="3" s="1"/>
  <c r="G302" i="3" a="1"/>
  <c r="G302" i="3" s="1"/>
  <c r="M302" i="3" s="1"/>
  <c r="E302" i="3" a="1"/>
  <c r="E302" i="3" s="1"/>
  <c r="D302" i="3"/>
  <c r="B302" i="3"/>
  <c r="C302" i="3" s="1"/>
  <c r="A302" i="3"/>
  <c r="J301" i="3"/>
  <c r="L301" i="3" s="1"/>
  <c r="I301" i="3"/>
  <c r="H301" i="3" a="1"/>
  <c r="H301" i="3" s="1"/>
  <c r="G301" i="3" a="1"/>
  <c r="G301" i="3" s="1"/>
  <c r="M301" i="3" s="1"/>
  <c r="E301" i="3" a="1"/>
  <c r="E301" i="3" s="1"/>
  <c r="D301" i="3"/>
  <c r="B301" i="3"/>
  <c r="C301" i="3" s="1"/>
  <c r="A301" i="3"/>
  <c r="J300" i="3"/>
  <c r="L300" i="3" s="1"/>
  <c r="I300" i="3"/>
  <c r="H300" i="3" a="1"/>
  <c r="H300" i="3" s="1"/>
  <c r="G300" i="3" a="1"/>
  <c r="G300" i="3" s="1"/>
  <c r="M300" i="3" s="1"/>
  <c r="E300" i="3" a="1"/>
  <c r="E300" i="3" s="1"/>
  <c r="D300" i="3"/>
  <c r="B300" i="3"/>
  <c r="C300" i="3" s="1"/>
  <c r="A300" i="3"/>
  <c r="J299" i="3"/>
  <c r="L299" i="3" s="1"/>
  <c r="I299" i="3"/>
  <c r="H299" i="3" a="1"/>
  <c r="H299" i="3" s="1"/>
  <c r="G299" i="3" a="1"/>
  <c r="G299" i="3" s="1"/>
  <c r="M299" i="3" s="1"/>
  <c r="E299" i="3" a="1"/>
  <c r="E299" i="3" s="1"/>
  <c r="D299" i="3"/>
  <c r="B299" i="3"/>
  <c r="C299" i="3" s="1"/>
  <c r="A299" i="3"/>
  <c r="J298" i="3"/>
  <c r="I298" i="3"/>
  <c r="H298" i="3" a="1"/>
  <c r="H298" i="3" s="1"/>
  <c r="G298" i="3" a="1"/>
  <c r="G298" i="3" s="1"/>
  <c r="M298" i="3" s="1"/>
  <c r="E298" i="3" a="1"/>
  <c r="E298" i="3" s="1"/>
  <c r="D298" i="3"/>
  <c r="B298" i="3"/>
  <c r="C298" i="3" s="1"/>
  <c r="A298" i="3"/>
  <c r="J297" i="3"/>
  <c r="I297" i="3"/>
  <c r="H297" i="3" a="1"/>
  <c r="H297" i="3" s="1"/>
  <c r="G297" i="3" a="1"/>
  <c r="G297" i="3" s="1"/>
  <c r="M297" i="3" s="1"/>
  <c r="E297" i="3" a="1"/>
  <c r="E297" i="3" s="1"/>
  <c r="D297" i="3"/>
  <c r="B297" i="3"/>
  <c r="C297" i="3" s="1"/>
  <c r="A297" i="3"/>
  <c r="J296" i="3"/>
  <c r="I296" i="3"/>
  <c r="H296" i="3" a="1"/>
  <c r="H296" i="3" s="1"/>
  <c r="G296" i="3" a="1"/>
  <c r="G296" i="3" s="1"/>
  <c r="M296" i="3" s="1"/>
  <c r="E296" i="3" a="1"/>
  <c r="E296" i="3" s="1"/>
  <c r="D296" i="3"/>
  <c r="B296" i="3"/>
  <c r="C296" i="3" s="1"/>
  <c r="A296" i="3"/>
  <c r="J295" i="3"/>
  <c r="I295" i="3"/>
  <c r="H295" i="3" a="1"/>
  <c r="H295" i="3" s="1"/>
  <c r="G295" i="3" a="1"/>
  <c r="G295" i="3" s="1"/>
  <c r="M295" i="3" s="1"/>
  <c r="E295" i="3" a="1"/>
  <c r="E295" i="3" s="1"/>
  <c r="D295" i="3"/>
  <c r="B295" i="3"/>
  <c r="C295" i="3" s="1"/>
  <c r="A295" i="3"/>
  <c r="J294" i="3"/>
  <c r="I294" i="3"/>
  <c r="H294" i="3" a="1"/>
  <c r="H294" i="3" s="1"/>
  <c r="G294" i="3" a="1"/>
  <c r="G294" i="3" s="1"/>
  <c r="M294" i="3" s="1"/>
  <c r="E294" i="3" a="1"/>
  <c r="E294" i="3" s="1"/>
  <c r="D294" i="3"/>
  <c r="B294" i="3"/>
  <c r="C294" i="3" s="1"/>
  <c r="A294" i="3"/>
  <c r="J293" i="3"/>
  <c r="I293" i="3"/>
  <c r="H293" i="3" a="1"/>
  <c r="H293" i="3" s="1"/>
  <c r="G293" i="3" a="1"/>
  <c r="G293" i="3" s="1"/>
  <c r="M293" i="3" s="1"/>
  <c r="E293" i="3" a="1"/>
  <c r="E293" i="3" s="1"/>
  <c r="D293" i="3"/>
  <c r="B293" i="3"/>
  <c r="C293" i="3" s="1"/>
  <c r="A293" i="3"/>
  <c r="J292" i="3"/>
  <c r="L292" i="3" s="1"/>
  <c r="I292" i="3"/>
  <c r="H292" i="3" a="1"/>
  <c r="H292" i="3" s="1"/>
  <c r="G292" i="3" a="1"/>
  <c r="G292" i="3" s="1"/>
  <c r="M292" i="3" s="1"/>
  <c r="E292" i="3" a="1"/>
  <c r="E292" i="3" s="1"/>
  <c r="D292" i="3"/>
  <c r="B292" i="3"/>
  <c r="C292" i="3" s="1"/>
  <c r="A292" i="3"/>
  <c r="J291" i="3"/>
  <c r="I291" i="3"/>
  <c r="H291" i="3" a="1"/>
  <c r="H291" i="3" s="1"/>
  <c r="G291" i="3" a="1"/>
  <c r="G291" i="3" s="1"/>
  <c r="M291" i="3" s="1"/>
  <c r="E291" i="3" a="1"/>
  <c r="E291" i="3" s="1"/>
  <c r="D291" i="3"/>
  <c r="B291" i="3"/>
  <c r="C291" i="3" s="1"/>
  <c r="A291" i="3"/>
  <c r="J290" i="3"/>
  <c r="L290" i="3" s="1"/>
  <c r="I290" i="3"/>
  <c r="H290" i="3" a="1"/>
  <c r="H290" i="3" s="1"/>
  <c r="G290" i="3" a="1"/>
  <c r="G290" i="3" s="1"/>
  <c r="M290" i="3" s="1"/>
  <c r="E290" i="3" a="1"/>
  <c r="E290" i="3" s="1"/>
  <c r="D290" i="3"/>
  <c r="B290" i="3"/>
  <c r="C290" i="3" s="1"/>
  <c r="A290" i="3"/>
  <c r="J289" i="3"/>
  <c r="I289" i="3"/>
  <c r="H289" i="3" a="1"/>
  <c r="H289" i="3" s="1"/>
  <c r="G289" i="3" a="1"/>
  <c r="G289" i="3" s="1"/>
  <c r="M289" i="3" s="1"/>
  <c r="E289" i="3" a="1"/>
  <c r="E289" i="3" s="1"/>
  <c r="D289" i="3"/>
  <c r="B289" i="3"/>
  <c r="C289" i="3" s="1"/>
  <c r="A289" i="3"/>
  <c r="J288" i="3"/>
  <c r="I288" i="3"/>
  <c r="H288" i="3" a="1"/>
  <c r="H288" i="3" s="1"/>
  <c r="G288" i="3" a="1"/>
  <c r="G288" i="3" s="1"/>
  <c r="M288" i="3" s="1"/>
  <c r="E288" i="3" a="1"/>
  <c r="E288" i="3" s="1"/>
  <c r="D288" i="3"/>
  <c r="B288" i="3"/>
  <c r="C288" i="3" s="1"/>
  <c r="A288" i="3"/>
  <c r="J287" i="3"/>
  <c r="L287" i="3" s="1"/>
  <c r="I287" i="3"/>
  <c r="H287" i="3" a="1"/>
  <c r="H287" i="3" s="1"/>
  <c r="G287" i="3" a="1"/>
  <c r="G287" i="3" s="1"/>
  <c r="M287" i="3" s="1"/>
  <c r="E287" i="3" a="1"/>
  <c r="E287" i="3" s="1"/>
  <c r="D287" i="3"/>
  <c r="B287" i="3"/>
  <c r="C287" i="3" s="1"/>
  <c r="A287" i="3"/>
  <c r="J286" i="3"/>
  <c r="L286" i="3" s="1"/>
  <c r="I286" i="3"/>
  <c r="H286" i="3" a="1"/>
  <c r="H286" i="3" s="1"/>
  <c r="G286" i="3" a="1"/>
  <c r="G286" i="3" s="1"/>
  <c r="M286" i="3" s="1"/>
  <c r="E286" i="3" a="1"/>
  <c r="E286" i="3" s="1"/>
  <c r="D286" i="3"/>
  <c r="B286" i="3"/>
  <c r="C286" i="3" s="1"/>
  <c r="A286" i="3"/>
  <c r="J285" i="3"/>
  <c r="L285" i="3" s="1"/>
  <c r="I285" i="3"/>
  <c r="H285" i="3" a="1"/>
  <c r="H285" i="3" s="1"/>
  <c r="G285" i="3" a="1"/>
  <c r="G285" i="3" s="1"/>
  <c r="M285" i="3" s="1"/>
  <c r="E285" i="3" a="1"/>
  <c r="E285" i="3" s="1"/>
  <c r="D285" i="3"/>
  <c r="B285" i="3"/>
  <c r="C285" i="3" s="1"/>
  <c r="A285" i="3"/>
  <c r="J284" i="3"/>
  <c r="L284" i="3" s="1"/>
  <c r="I284" i="3"/>
  <c r="H284" i="3" a="1"/>
  <c r="H284" i="3" s="1"/>
  <c r="G284" i="3" a="1"/>
  <c r="G284" i="3" s="1"/>
  <c r="M284" i="3" s="1"/>
  <c r="E284" i="3" a="1"/>
  <c r="E284" i="3" s="1"/>
  <c r="D284" i="3"/>
  <c r="B284" i="3"/>
  <c r="C284" i="3" s="1"/>
  <c r="A284" i="3"/>
  <c r="J283" i="3"/>
  <c r="L283" i="3" s="1"/>
  <c r="I283" i="3"/>
  <c r="H283" i="3" a="1"/>
  <c r="H283" i="3" s="1"/>
  <c r="G283" i="3" a="1"/>
  <c r="G283" i="3" s="1"/>
  <c r="M283" i="3" s="1"/>
  <c r="E283" i="3" a="1"/>
  <c r="E283" i="3" s="1"/>
  <c r="D283" i="3"/>
  <c r="B283" i="3"/>
  <c r="C283" i="3" s="1"/>
  <c r="A283" i="3"/>
  <c r="J282" i="3"/>
  <c r="I282" i="3"/>
  <c r="H282" i="3" a="1"/>
  <c r="H282" i="3" s="1"/>
  <c r="G282" i="3" a="1"/>
  <c r="G282" i="3" s="1"/>
  <c r="M282" i="3" s="1"/>
  <c r="E282" i="3" a="1"/>
  <c r="E282" i="3" s="1"/>
  <c r="D282" i="3"/>
  <c r="B282" i="3"/>
  <c r="C282" i="3" s="1"/>
  <c r="A282" i="3"/>
  <c r="J281" i="3"/>
  <c r="L281" i="3" s="1"/>
  <c r="I281" i="3"/>
  <c r="H281" i="3" a="1"/>
  <c r="H281" i="3" s="1"/>
  <c r="G281" i="3" a="1"/>
  <c r="G281" i="3" s="1"/>
  <c r="M281" i="3" s="1"/>
  <c r="E281" i="3" a="1"/>
  <c r="E281" i="3" s="1"/>
  <c r="D281" i="3"/>
  <c r="B281" i="3"/>
  <c r="C281" i="3" s="1"/>
  <c r="A281" i="3"/>
  <c r="J280" i="3"/>
  <c r="L280" i="3" s="1"/>
  <c r="I280" i="3"/>
  <c r="H280" i="3" a="1"/>
  <c r="H280" i="3" s="1"/>
  <c r="G280" i="3" a="1"/>
  <c r="G280" i="3" s="1"/>
  <c r="M280" i="3" s="1"/>
  <c r="E280" i="3" a="1"/>
  <c r="E280" i="3" s="1"/>
  <c r="D280" i="3"/>
  <c r="B280" i="3"/>
  <c r="C280" i="3" s="1"/>
  <c r="A280" i="3"/>
  <c r="J279" i="3"/>
  <c r="L279" i="3" s="1"/>
  <c r="I279" i="3"/>
  <c r="H279" i="3" a="1"/>
  <c r="H279" i="3" s="1"/>
  <c r="G279" i="3" a="1"/>
  <c r="G279" i="3" s="1"/>
  <c r="M279" i="3" s="1"/>
  <c r="E279" i="3" a="1"/>
  <c r="E279" i="3" s="1"/>
  <c r="D279" i="3"/>
  <c r="B279" i="3"/>
  <c r="C279" i="3" s="1"/>
  <c r="A279" i="3"/>
  <c r="J278" i="3"/>
  <c r="I278" i="3"/>
  <c r="H278" i="3" a="1"/>
  <c r="H278" i="3" s="1"/>
  <c r="G278" i="3" a="1"/>
  <c r="G278" i="3" s="1"/>
  <c r="M278" i="3" s="1"/>
  <c r="E278" i="3" a="1"/>
  <c r="E278" i="3" s="1"/>
  <c r="D278" i="3"/>
  <c r="B278" i="3"/>
  <c r="C278" i="3" s="1"/>
  <c r="A278" i="3"/>
  <c r="J277" i="3"/>
  <c r="L277" i="3" s="1"/>
  <c r="I277" i="3"/>
  <c r="H277" i="3" a="1"/>
  <c r="H277" i="3" s="1"/>
  <c r="G277" i="3" a="1"/>
  <c r="G277" i="3" s="1"/>
  <c r="M277" i="3" s="1"/>
  <c r="E277" i="3" a="1"/>
  <c r="E277" i="3" s="1"/>
  <c r="D277" i="3"/>
  <c r="B277" i="3"/>
  <c r="C277" i="3" s="1"/>
  <c r="A277" i="3"/>
  <c r="J276" i="3"/>
  <c r="I276" i="3"/>
  <c r="H276" i="3" a="1"/>
  <c r="H276" i="3" s="1"/>
  <c r="G276" i="3" a="1"/>
  <c r="G276" i="3" s="1"/>
  <c r="M276" i="3" s="1"/>
  <c r="E276" i="3" a="1"/>
  <c r="E276" i="3" s="1"/>
  <c r="D276" i="3"/>
  <c r="B276" i="3"/>
  <c r="C276" i="3" s="1"/>
  <c r="A276" i="3"/>
  <c r="J275" i="3"/>
  <c r="I275" i="3"/>
  <c r="H275" i="3" a="1"/>
  <c r="H275" i="3" s="1"/>
  <c r="G275" i="3" a="1"/>
  <c r="G275" i="3" s="1"/>
  <c r="M275" i="3" s="1"/>
  <c r="E275" i="3" a="1"/>
  <c r="E275" i="3" s="1"/>
  <c r="D275" i="3"/>
  <c r="B275" i="3"/>
  <c r="C275" i="3" s="1"/>
  <c r="A275" i="3"/>
  <c r="J274" i="3"/>
  <c r="I274" i="3"/>
  <c r="H274" i="3" a="1"/>
  <c r="H274" i="3" s="1"/>
  <c r="G274" i="3" a="1"/>
  <c r="G274" i="3" s="1"/>
  <c r="M274" i="3" s="1"/>
  <c r="E274" i="3" a="1"/>
  <c r="E274" i="3" s="1"/>
  <c r="D274" i="3"/>
  <c r="B274" i="3"/>
  <c r="C274" i="3" s="1"/>
  <c r="A274" i="3"/>
  <c r="J273" i="3"/>
  <c r="I273" i="3"/>
  <c r="H273" i="3" a="1"/>
  <c r="H273" i="3" s="1"/>
  <c r="G273" i="3" a="1"/>
  <c r="G273" i="3" s="1"/>
  <c r="M273" i="3" s="1"/>
  <c r="E273" i="3" a="1"/>
  <c r="E273" i="3" s="1"/>
  <c r="D273" i="3"/>
  <c r="B273" i="3"/>
  <c r="C273" i="3" s="1"/>
  <c r="A273" i="3"/>
  <c r="J272" i="3"/>
  <c r="I272" i="3"/>
  <c r="H272" i="3" a="1"/>
  <c r="H272" i="3" s="1"/>
  <c r="G272" i="3" a="1"/>
  <c r="G272" i="3" s="1"/>
  <c r="M272" i="3" s="1"/>
  <c r="E272" i="3" a="1"/>
  <c r="E272" i="3" s="1"/>
  <c r="D272" i="3"/>
  <c r="B272" i="3"/>
  <c r="C272" i="3" s="1"/>
  <c r="A272" i="3"/>
  <c r="J271" i="3"/>
  <c r="I271" i="3"/>
  <c r="H271" i="3" a="1"/>
  <c r="H271" i="3" s="1"/>
  <c r="G271" i="3" a="1"/>
  <c r="G271" i="3" s="1"/>
  <c r="M271" i="3" s="1"/>
  <c r="E271" i="3" a="1"/>
  <c r="E271" i="3" s="1"/>
  <c r="D271" i="3"/>
  <c r="B271" i="3"/>
  <c r="C271" i="3" s="1"/>
  <c r="A271" i="3"/>
  <c r="J270" i="3"/>
  <c r="I270" i="3"/>
  <c r="H270" i="3" a="1"/>
  <c r="H270" i="3" s="1"/>
  <c r="G270" i="3" a="1"/>
  <c r="G270" i="3" s="1"/>
  <c r="M270" i="3" s="1"/>
  <c r="E270" i="3" a="1"/>
  <c r="E270" i="3" s="1"/>
  <c r="D270" i="3"/>
  <c r="B270" i="3"/>
  <c r="C270" i="3" s="1"/>
  <c r="A270" i="3"/>
  <c r="J269" i="3"/>
  <c r="I269" i="3"/>
  <c r="H269" i="3" a="1"/>
  <c r="H269" i="3" s="1"/>
  <c r="G269" i="3" a="1"/>
  <c r="G269" i="3" s="1"/>
  <c r="M269" i="3" s="1"/>
  <c r="E269" i="3" a="1"/>
  <c r="E269" i="3" s="1"/>
  <c r="D269" i="3"/>
  <c r="B269" i="3"/>
  <c r="C269" i="3" s="1"/>
  <c r="A269" i="3"/>
  <c r="J268" i="3"/>
  <c r="I268" i="3"/>
  <c r="H268" i="3" a="1"/>
  <c r="H268" i="3" s="1"/>
  <c r="G268" i="3" a="1"/>
  <c r="G268" i="3" s="1"/>
  <c r="M268" i="3" s="1"/>
  <c r="E268" i="3" a="1"/>
  <c r="E268" i="3" s="1"/>
  <c r="D268" i="3"/>
  <c r="B268" i="3"/>
  <c r="C268" i="3" s="1"/>
  <c r="A268" i="3"/>
  <c r="J267" i="3"/>
  <c r="L267" i="3" s="1"/>
  <c r="I267" i="3"/>
  <c r="H267" i="3" a="1"/>
  <c r="H267" i="3" s="1"/>
  <c r="G267" i="3" a="1"/>
  <c r="G267" i="3" s="1"/>
  <c r="M267" i="3" s="1"/>
  <c r="E267" i="3" a="1"/>
  <c r="E267" i="3" s="1"/>
  <c r="D267" i="3"/>
  <c r="B267" i="3"/>
  <c r="C267" i="3" s="1"/>
  <c r="A267" i="3"/>
  <c r="J266" i="3"/>
  <c r="L266" i="3" s="1"/>
  <c r="I266" i="3"/>
  <c r="H266" i="3" a="1"/>
  <c r="H266" i="3" s="1"/>
  <c r="G266" i="3" a="1"/>
  <c r="G266" i="3" s="1"/>
  <c r="M266" i="3" s="1"/>
  <c r="E266" i="3" a="1"/>
  <c r="E266" i="3" s="1"/>
  <c r="D266" i="3"/>
  <c r="B266" i="3"/>
  <c r="C266" i="3" s="1"/>
  <c r="A266" i="3"/>
  <c r="J265" i="3"/>
  <c r="L265" i="3" s="1"/>
  <c r="I265" i="3"/>
  <c r="H265" i="3" a="1"/>
  <c r="H265" i="3" s="1"/>
  <c r="G265" i="3" a="1"/>
  <c r="G265" i="3" s="1"/>
  <c r="M265" i="3" s="1"/>
  <c r="E265" i="3" a="1"/>
  <c r="E265" i="3" s="1"/>
  <c r="D265" i="3"/>
  <c r="B265" i="3"/>
  <c r="C265" i="3" s="1"/>
  <c r="A265" i="3"/>
  <c r="J264" i="3"/>
  <c r="I264" i="3"/>
  <c r="H264" i="3" a="1"/>
  <c r="H264" i="3" s="1"/>
  <c r="G264" i="3" a="1"/>
  <c r="G264" i="3" s="1"/>
  <c r="M264" i="3" s="1"/>
  <c r="E264" i="3" a="1"/>
  <c r="E264" i="3" s="1"/>
  <c r="D264" i="3"/>
  <c r="B264" i="3"/>
  <c r="C264" i="3" s="1"/>
  <c r="A264" i="3"/>
  <c r="J263" i="3"/>
  <c r="I263" i="3"/>
  <c r="H263" i="3" a="1"/>
  <c r="H263" i="3" s="1"/>
  <c r="G263" i="3" a="1"/>
  <c r="G263" i="3" s="1"/>
  <c r="M263" i="3" s="1"/>
  <c r="E263" i="3" a="1"/>
  <c r="E263" i="3" s="1"/>
  <c r="D263" i="3"/>
  <c r="B263" i="3"/>
  <c r="C263" i="3" s="1"/>
  <c r="A263" i="3"/>
  <c r="J262" i="3"/>
  <c r="L262" i="3" s="1"/>
  <c r="I262" i="3"/>
  <c r="H262" i="3" a="1"/>
  <c r="H262" i="3" s="1"/>
  <c r="G262" i="3" a="1"/>
  <c r="G262" i="3" s="1"/>
  <c r="M262" i="3" s="1"/>
  <c r="E262" i="3" a="1"/>
  <c r="E262" i="3" s="1"/>
  <c r="D262" i="3"/>
  <c r="B262" i="3"/>
  <c r="C262" i="3" s="1"/>
  <c r="A262" i="3"/>
  <c r="J261" i="3"/>
  <c r="L261" i="3" s="1"/>
  <c r="I261" i="3"/>
  <c r="H261" i="3" a="1"/>
  <c r="H261" i="3" s="1"/>
  <c r="G261" i="3" a="1"/>
  <c r="G261" i="3" s="1"/>
  <c r="M261" i="3" s="1"/>
  <c r="E261" i="3" a="1"/>
  <c r="E261" i="3" s="1"/>
  <c r="D261" i="3"/>
  <c r="B261" i="3"/>
  <c r="C261" i="3" s="1"/>
  <c r="A261" i="3"/>
  <c r="J260" i="3"/>
  <c r="L260" i="3" s="1"/>
  <c r="I260" i="3"/>
  <c r="H260" i="3" a="1"/>
  <c r="H260" i="3" s="1"/>
  <c r="G260" i="3" a="1"/>
  <c r="G260" i="3" s="1"/>
  <c r="M260" i="3" s="1"/>
  <c r="E260" i="3" a="1"/>
  <c r="E260" i="3" s="1"/>
  <c r="D260" i="3"/>
  <c r="B260" i="3"/>
  <c r="C260" i="3" s="1"/>
  <c r="A260" i="3"/>
  <c r="J259" i="3"/>
  <c r="L259" i="3" s="1"/>
  <c r="I259" i="3"/>
  <c r="H259" i="3" a="1"/>
  <c r="H259" i="3" s="1"/>
  <c r="G259" i="3" a="1"/>
  <c r="G259" i="3" s="1"/>
  <c r="M259" i="3" s="1"/>
  <c r="E259" i="3" a="1"/>
  <c r="E259" i="3" s="1"/>
  <c r="D259" i="3"/>
  <c r="B259" i="3"/>
  <c r="C259" i="3" s="1"/>
  <c r="A259" i="3"/>
  <c r="J258" i="3"/>
  <c r="I258" i="3"/>
  <c r="H258" i="3" a="1"/>
  <c r="H258" i="3" s="1"/>
  <c r="G258" i="3" a="1"/>
  <c r="G258" i="3" s="1"/>
  <c r="M258" i="3" s="1"/>
  <c r="E258" i="3" a="1"/>
  <c r="E258" i="3" s="1"/>
  <c r="D258" i="3"/>
  <c r="B258" i="3"/>
  <c r="C258" i="3" s="1"/>
  <c r="A258" i="3"/>
  <c r="J257" i="3"/>
  <c r="I257" i="3"/>
  <c r="H257" i="3" a="1"/>
  <c r="H257" i="3" s="1"/>
  <c r="G257" i="3" a="1"/>
  <c r="G257" i="3" s="1"/>
  <c r="M257" i="3" s="1"/>
  <c r="E257" i="3" a="1"/>
  <c r="E257" i="3" s="1"/>
  <c r="D257" i="3"/>
  <c r="B257" i="3"/>
  <c r="C257" i="3" s="1"/>
  <c r="A257" i="3"/>
  <c r="J256" i="3"/>
  <c r="L256" i="3" s="1"/>
  <c r="I256" i="3"/>
  <c r="H256" i="3" a="1"/>
  <c r="H256" i="3" s="1"/>
  <c r="G256" i="3" a="1"/>
  <c r="G256" i="3" s="1"/>
  <c r="M256" i="3" s="1"/>
  <c r="E256" i="3" a="1"/>
  <c r="E256" i="3" s="1"/>
  <c r="D256" i="3"/>
  <c r="B256" i="3"/>
  <c r="C256" i="3" s="1"/>
  <c r="A256" i="3"/>
  <c r="J255" i="3"/>
  <c r="I255" i="3"/>
  <c r="H255" i="3" a="1"/>
  <c r="H255" i="3" s="1"/>
  <c r="G255" i="3" a="1"/>
  <c r="G255" i="3" s="1"/>
  <c r="M255" i="3" s="1"/>
  <c r="E255" i="3" a="1"/>
  <c r="E255" i="3" s="1"/>
  <c r="D255" i="3"/>
  <c r="B255" i="3"/>
  <c r="C255" i="3" s="1"/>
  <c r="A255" i="3"/>
  <c r="J254" i="3"/>
  <c r="L254" i="3" s="1"/>
  <c r="I254" i="3"/>
  <c r="H254" i="3" a="1"/>
  <c r="H254" i="3" s="1"/>
  <c r="G254" i="3" a="1"/>
  <c r="G254" i="3" s="1"/>
  <c r="M254" i="3" s="1"/>
  <c r="E254" i="3" a="1"/>
  <c r="E254" i="3" s="1"/>
  <c r="D254" i="3"/>
  <c r="B254" i="3"/>
  <c r="C254" i="3" s="1"/>
  <c r="A254" i="3"/>
  <c r="J253" i="3"/>
  <c r="L253" i="3" s="1"/>
  <c r="I253" i="3"/>
  <c r="H253" i="3" a="1"/>
  <c r="H253" i="3" s="1"/>
  <c r="G253" i="3" a="1"/>
  <c r="G253" i="3" s="1"/>
  <c r="M253" i="3" s="1"/>
  <c r="E253" i="3" a="1"/>
  <c r="E253" i="3" s="1"/>
  <c r="D253" i="3"/>
  <c r="B253" i="3"/>
  <c r="C253" i="3" s="1"/>
  <c r="A253" i="3"/>
  <c r="J252" i="3"/>
  <c r="I252" i="3"/>
  <c r="H252" i="3" a="1"/>
  <c r="H252" i="3" s="1"/>
  <c r="G252" i="3" a="1"/>
  <c r="G252" i="3" s="1"/>
  <c r="M252" i="3" s="1"/>
  <c r="E252" i="3" a="1"/>
  <c r="E252" i="3" s="1"/>
  <c r="D252" i="3"/>
  <c r="B252" i="3"/>
  <c r="C252" i="3" s="1"/>
  <c r="A252" i="3"/>
  <c r="J251" i="3"/>
  <c r="L251" i="3" s="1"/>
  <c r="I251" i="3"/>
  <c r="H251" i="3" a="1"/>
  <c r="H251" i="3" s="1"/>
  <c r="G251" i="3" a="1"/>
  <c r="G251" i="3" s="1"/>
  <c r="M251" i="3" s="1"/>
  <c r="E251" i="3" a="1"/>
  <c r="E251" i="3" s="1"/>
  <c r="D251" i="3"/>
  <c r="B251" i="3"/>
  <c r="C251" i="3" s="1"/>
  <c r="A251" i="3"/>
  <c r="J250" i="3"/>
  <c r="I250" i="3"/>
  <c r="H250" i="3" a="1"/>
  <c r="H250" i="3" s="1"/>
  <c r="G250" i="3" a="1"/>
  <c r="G250" i="3" s="1"/>
  <c r="M250" i="3" s="1"/>
  <c r="E250" i="3" a="1"/>
  <c r="E250" i="3" s="1"/>
  <c r="D250" i="3"/>
  <c r="B250" i="3"/>
  <c r="C250" i="3" s="1"/>
  <c r="A250" i="3"/>
  <c r="J249" i="3"/>
  <c r="I249" i="3"/>
  <c r="H249" i="3" a="1"/>
  <c r="H249" i="3" s="1"/>
  <c r="G249" i="3" a="1"/>
  <c r="G249" i="3" s="1"/>
  <c r="M249" i="3" s="1"/>
  <c r="E249" i="3" a="1"/>
  <c r="E249" i="3" s="1"/>
  <c r="D249" i="3"/>
  <c r="B249" i="3"/>
  <c r="C249" i="3" s="1"/>
  <c r="A249" i="3"/>
  <c r="J248" i="3"/>
  <c r="L248" i="3" s="1"/>
  <c r="I248" i="3"/>
  <c r="H248" i="3" a="1"/>
  <c r="H248" i="3" s="1"/>
  <c r="G248" i="3" a="1"/>
  <c r="G248" i="3" s="1"/>
  <c r="M248" i="3" s="1"/>
  <c r="E248" i="3" a="1"/>
  <c r="E248" i="3" s="1"/>
  <c r="D248" i="3"/>
  <c r="B248" i="3"/>
  <c r="C248" i="3" s="1"/>
  <c r="A248" i="3"/>
  <c r="J247" i="3"/>
  <c r="I247" i="3"/>
  <c r="H247" i="3" a="1"/>
  <c r="H247" i="3" s="1"/>
  <c r="G247" i="3" a="1"/>
  <c r="G247" i="3" s="1"/>
  <c r="M247" i="3" s="1"/>
  <c r="E247" i="3" a="1"/>
  <c r="E247" i="3" s="1"/>
  <c r="D247" i="3"/>
  <c r="B247" i="3"/>
  <c r="C247" i="3" s="1"/>
  <c r="A247" i="3"/>
  <c r="J246" i="3"/>
  <c r="I246" i="3"/>
  <c r="H246" i="3" a="1"/>
  <c r="H246" i="3" s="1"/>
  <c r="G246" i="3" a="1"/>
  <c r="G246" i="3" s="1"/>
  <c r="M246" i="3" s="1"/>
  <c r="E246" i="3" a="1"/>
  <c r="E246" i="3" s="1"/>
  <c r="D246" i="3"/>
  <c r="B246" i="3"/>
  <c r="C246" i="3" s="1"/>
  <c r="A246" i="3"/>
  <c r="J245" i="3"/>
  <c r="L245" i="3" s="1"/>
  <c r="I245" i="3"/>
  <c r="H245" i="3" a="1"/>
  <c r="H245" i="3" s="1"/>
  <c r="G245" i="3" a="1"/>
  <c r="G245" i="3" s="1"/>
  <c r="M245" i="3" s="1"/>
  <c r="E245" i="3" a="1"/>
  <c r="E245" i="3" s="1"/>
  <c r="D245" i="3"/>
  <c r="B245" i="3"/>
  <c r="C245" i="3" s="1"/>
  <c r="A245" i="3"/>
  <c r="J244" i="3"/>
  <c r="I244" i="3"/>
  <c r="H244" i="3" a="1"/>
  <c r="H244" i="3" s="1"/>
  <c r="G244" i="3" a="1"/>
  <c r="G244" i="3" s="1"/>
  <c r="M244" i="3" s="1"/>
  <c r="E244" i="3" a="1"/>
  <c r="E244" i="3" s="1"/>
  <c r="D244" i="3"/>
  <c r="B244" i="3"/>
  <c r="C244" i="3" s="1"/>
  <c r="A244" i="3"/>
  <c r="J243" i="3"/>
  <c r="L243" i="3" s="1"/>
  <c r="I243" i="3"/>
  <c r="H243" i="3" a="1"/>
  <c r="H243" i="3" s="1"/>
  <c r="G243" i="3" a="1"/>
  <c r="G243" i="3" s="1"/>
  <c r="M243" i="3" s="1"/>
  <c r="E243" i="3" a="1"/>
  <c r="E243" i="3" s="1"/>
  <c r="D243" i="3"/>
  <c r="B243" i="3"/>
  <c r="C243" i="3" s="1"/>
  <c r="A243" i="3"/>
  <c r="J242" i="3"/>
  <c r="L242" i="3" s="1"/>
  <c r="I242" i="3"/>
  <c r="H242" i="3" a="1"/>
  <c r="H242" i="3" s="1"/>
  <c r="G242" i="3" a="1"/>
  <c r="G242" i="3" s="1"/>
  <c r="M242" i="3" s="1"/>
  <c r="E242" i="3" a="1"/>
  <c r="E242" i="3" s="1"/>
  <c r="D242" i="3"/>
  <c r="B242" i="3"/>
  <c r="C242" i="3" s="1"/>
  <c r="A242" i="3"/>
  <c r="J241" i="3"/>
  <c r="L241" i="3" s="1"/>
  <c r="I241" i="3"/>
  <c r="H241" i="3" a="1"/>
  <c r="H241" i="3" s="1"/>
  <c r="G241" i="3" a="1"/>
  <c r="G241" i="3" s="1"/>
  <c r="M241" i="3" s="1"/>
  <c r="E241" i="3" a="1"/>
  <c r="E241" i="3" s="1"/>
  <c r="D241" i="3"/>
  <c r="B241" i="3"/>
  <c r="C241" i="3" s="1"/>
  <c r="A241" i="3"/>
  <c r="J240" i="3"/>
  <c r="I240" i="3"/>
  <c r="H240" i="3" a="1"/>
  <c r="H240" i="3" s="1"/>
  <c r="G240" i="3" a="1"/>
  <c r="G240" i="3" s="1"/>
  <c r="M240" i="3" s="1"/>
  <c r="E240" i="3" a="1"/>
  <c r="E240" i="3" s="1"/>
  <c r="D240" i="3"/>
  <c r="B240" i="3"/>
  <c r="C240" i="3" s="1"/>
  <c r="A240" i="3"/>
  <c r="J239" i="3"/>
  <c r="L239" i="3" s="1"/>
  <c r="I239" i="3"/>
  <c r="H239" i="3" a="1"/>
  <c r="H239" i="3" s="1"/>
  <c r="G239" i="3" a="1"/>
  <c r="G239" i="3" s="1"/>
  <c r="M239" i="3" s="1"/>
  <c r="E239" i="3" a="1"/>
  <c r="E239" i="3" s="1"/>
  <c r="D239" i="3"/>
  <c r="B239" i="3"/>
  <c r="C239" i="3" s="1"/>
  <c r="A239" i="3"/>
  <c r="J238" i="3"/>
  <c r="I238" i="3"/>
  <c r="H238" i="3" a="1"/>
  <c r="H238" i="3" s="1"/>
  <c r="G238" i="3" a="1"/>
  <c r="G238" i="3" s="1"/>
  <c r="M238" i="3" s="1"/>
  <c r="E238" i="3" a="1"/>
  <c r="E238" i="3" s="1"/>
  <c r="D238" i="3"/>
  <c r="B238" i="3"/>
  <c r="C238" i="3" s="1"/>
  <c r="A238" i="3"/>
  <c r="J237" i="3"/>
  <c r="I237" i="3"/>
  <c r="H237" i="3" a="1"/>
  <c r="H237" i="3" s="1"/>
  <c r="G237" i="3" a="1"/>
  <c r="G237" i="3" s="1"/>
  <c r="M237" i="3" s="1"/>
  <c r="E237" i="3" a="1"/>
  <c r="E237" i="3" s="1"/>
  <c r="D237" i="3"/>
  <c r="B237" i="3"/>
  <c r="C237" i="3" s="1"/>
  <c r="A237" i="3"/>
  <c r="J236" i="3"/>
  <c r="I236" i="3"/>
  <c r="H236" i="3" a="1"/>
  <c r="H236" i="3" s="1"/>
  <c r="G236" i="3" a="1"/>
  <c r="G236" i="3" s="1"/>
  <c r="M236" i="3" s="1"/>
  <c r="E236" i="3" a="1"/>
  <c r="E236" i="3" s="1"/>
  <c r="D236" i="3"/>
  <c r="B236" i="3"/>
  <c r="C236" i="3" s="1"/>
  <c r="A236" i="3"/>
  <c r="J235" i="3"/>
  <c r="L235" i="3" s="1"/>
  <c r="I235" i="3"/>
  <c r="H235" i="3" a="1"/>
  <c r="H235" i="3" s="1"/>
  <c r="G235" i="3" a="1"/>
  <c r="G235" i="3" s="1"/>
  <c r="M235" i="3" s="1"/>
  <c r="E235" i="3" a="1"/>
  <c r="E235" i="3" s="1"/>
  <c r="D235" i="3"/>
  <c r="B235" i="3"/>
  <c r="C235" i="3" s="1"/>
  <c r="A235" i="3"/>
  <c r="J234" i="3"/>
  <c r="I234" i="3"/>
  <c r="H234" i="3" a="1"/>
  <c r="H234" i="3" s="1"/>
  <c r="G234" i="3" a="1"/>
  <c r="G234" i="3" s="1"/>
  <c r="M234" i="3" s="1"/>
  <c r="E234" i="3" a="1"/>
  <c r="E234" i="3" s="1"/>
  <c r="D234" i="3"/>
  <c r="B234" i="3"/>
  <c r="C234" i="3" s="1"/>
  <c r="A234" i="3"/>
  <c r="J233" i="3"/>
  <c r="I233" i="3"/>
  <c r="H233" i="3" a="1"/>
  <c r="H233" i="3" s="1"/>
  <c r="G233" i="3" a="1"/>
  <c r="G233" i="3" s="1"/>
  <c r="M233" i="3" s="1"/>
  <c r="E233" i="3" a="1"/>
  <c r="E233" i="3" s="1"/>
  <c r="D233" i="3"/>
  <c r="B233" i="3"/>
  <c r="C233" i="3" s="1"/>
  <c r="A233" i="3"/>
  <c r="J232" i="3"/>
  <c r="I232" i="3"/>
  <c r="H232" i="3" a="1"/>
  <c r="H232" i="3" s="1"/>
  <c r="G232" i="3" a="1"/>
  <c r="G232" i="3" s="1"/>
  <c r="M232" i="3" s="1"/>
  <c r="E232" i="3" a="1"/>
  <c r="E232" i="3" s="1"/>
  <c r="D232" i="3"/>
  <c r="B232" i="3"/>
  <c r="C232" i="3" s="1"/>
  <c r="A232" i="3"/>
  <c r="J231" i="3"/>
  <c r="I231" i="3"/>
  <c r="H231" i="3" a="1"/>
  <c r="H231" i="3" s="1"/>
  <c r="G231" i="3" a="1"/>
  <c r="G231" i="3" s="1"/>
  <c r="M231" i="3" s="1"/>
  <c r="E231" i="3" a="1"/>
  <c r="E231" i="3" s="1"/>
  <c r="D231" i="3"/>
  <c r="B231" i="3"/>
  <c r="C231" i="3" s="1"/>
  <c r="A231" i="3"/>
  <c r="J230" i="3"/>
  <c r="I230" i="3"/>
  <c r="H230" i="3" a="1"/>
  <c r="H230" i="3" s="1"/>
  <c r="G230" i="3" a="1"/>
  <c r="G230" i="3" s="1"/>
  <c r="M230" i="3" s="1"/>
  <c r="E230" i="3" a="1"/>
  <c r="E230" i="3" s="1"/>
  <c r="D230" i="3"/>
  <c r="B230" i="3"/>
  <c r="C230" i="3" s="1"/>
  <c r="A230" i="3"/>
  <c r="J229" i="3"/>
  <c r="I229" i="3"/>
  <c r="H229" i="3" a="1"/>
  <c r="H229" i="3" s="1"/>
  <c r="G229" i="3" a="1"/>
  <c r="G229" i="3" s="1"/>
  <c r="M229" i="3" s="1"/>
  <c r="E229" i="3" a="1"/>
  <c r="E229" i="3" s="1"/>
  <c r="D229" i="3"/>
  <c r="B229" i="3"/>
  <c r="C229" i="3" s="1"/>
  <c r="A229" i="3"/>
  <c r="J228" i="3"/>
  <c r="I228" i="3"/>
  <c r="H228" i="3" a="1"/>
  <c r="H228" i="3" s="1"/>
  <c r="G228" i="3" a="1"/>
  <c r="G228" i="3" s="1"/>
  <c r="M228" i="3" s="1"/>
  <c r="E228" i="3" a="1"/>
  <c r="E228" i="3" s="1"/>
  <c r="D228" i="3"/>
  <c r="B228" i="3"/>
  <c r="C228" i="3" s="1"/>
  <c r="A228" i="3"/>
  <c r="J227" i="3"/>
  <c r="I227" i="3"/>
  <c r="H227" i="3" a="1"/>
  <c r="H227" i="3" s="1"/>
  <c r="G227" i="3" a="1"/>
  <c r="G227" i="3" s="1"/>
  <c r="M227" i="3" s="1"/>
  <c r="E227" i="3" a="1"/>
  <c r="E227" i="3" s="1"/>
  <c r="D227" i="3"/>
  <c r="B227" i="3"/>
  <c r="C227" i="3" s="1"/>
  <c r="A227" i="3"/>
  <c r="J226" i="3"/>
  <c r="I226" i="3"/>
  <c r="H226" i="3" a="1"/>
  <c r="H226" i="3" s="1"/>
  <c r="G226" i="3" a="1"/>
  <c r="G226" i="3" s="1"/>
  <c r="M226" i="3" s="1"/>
  <c r="E226" i="3" a="1"/>
  <c r="E226" i="3" s="1"/>
  <c r="D226" i="3"/>
  <c r="B226" i="3"/>
  <c r="C226" i="3" s="1"/>
  <c r="A226" i="3"/>
  <c r="J225" i="3"/>
  <c r="I225" i="3"/>
  <c r="H225" i="3" a="1"/>
  <c r="H225" i="3" s="1"/>
  <c r="G225" i="3" a="1"/>
  <c r="G225" i="3" s="1"/>
  <c r="M225" i="3" s="1"/>
  <c r="E225" i="3" a="1"/>
  <c r="E225" i="3" s="1"/>
  <c r="D225" i="3"/>
  <c r="B225" i="3"/>
  <c r="C225" i="3" s="1"/>
  <c r="A225" i="3"/>
  <c r="J224" i="3"/>
  <c r="L224" i="3" s="1"/>
  <c r="I224" i="3"/>
  <c r="H224" i="3" a="1"/>
  <c r="H224" i="3" s="1"/>
  <c r="G224" i="3" a="1"/>
  <c r="G224" i="3" s="1"/>
  <c r="M224" i="3" s="1"/>
  <c r="E224" i="3" a="1"/>
  <c r="E224" i="3" s="1"/>
  <c r="D224" i="3"/>
  <c r="B224" i="3"/>
  <c r="C224" i="3" s="1"/>
  <c r="A224" i="3"/>
  <c r="J223" i="3"/>
  <c r="I223" i="3"/>
  <c r="H223" i="3" a="1"/>
  <c r="H223" i="3" s="1"/>
  <c r="G223" i="3" a="1"/>
  <c r="G223" i="3" s="1"/>
  <c r="M223" i="3" s="1"/>
  <c r="E223" i="3" a="1"/>
  <c r="E223" i="3" s="1"/>
  <c r="D223" i="3"/>
  <c r="B223" i="3"/>
  <c r="C223" i="3" s="1"/>
  <c r="A223" i="3"/>
  <c r="J222" i="3"/>
  <c r="I222" i="3"/>
  <c r="H222" i="3" a="1"/>
  <c r="H222" i="3" s="1"/>
  <c r="G222" i="3" a="1"/>
  <c r="G222" i="3" s="1"/>
  <c r="M222" i="3" s="1"/>
  <c r="E222" i="3" a="1"/>
  <c r="E222" i="3" s="1"/>
  <c r="D222" i="3"/>
  <c r="B222" i="3"/>
  <c r="C222" i="3" s="1"/>
  <c r="A222" i="3"/>
  <c r="J221" i="3"/>
  <c r="L221" i="3" s="1"/>
  <c r="I221" i="3"/>
  <c r="H221" i="3" a="1"/>
  <c r="H221" i="3" s="1"/>
  <c r="G221" i="3" a="1"/>
  <c r="G221" i="3" s="1"/>
  <c r="M221" i="3" s="1"/>
  <c r="E221" i="3" a="1"/>
  <c r="E221" i="3" s="1"/>
  <c r="D221" i="3"/>
  <c r="B221" i="3"/>
  <c r="C221" i="3" s="1"/>
  <c r="A221" i="3"/>
  <c r="J220" i="3"/>
  <c r="L220" i="3" s="1"/>
  <c r="I220" i="3"/>
  <c r="H220" i="3" a="1"/>
  <c r="H220" i="3" s="1"/>
  <c r="G220" i="3" a="1"/>
  <c r="G220" i="3" s="1"/>
  <c r="M220" i="3" s="1"/>
  <c r="E220" i="3" a="1"/>
  <c r="E220" i="3" s="1"/>
  <c r="D220" i="3"/>
  <c r="B220" i="3"/>
  <c r="C220" i="3" s="1"/>
  <c r="A220" i="3"/>
  <c r="J219" i="3"/>
  <c r="I219" i="3"/>
  <c r="H219" i="3" a="1"/>
  <c r="H219" i="3" s="1"/>
  <c r="G219" i="3" a="1"/>
  <c r="G219" i="3" s="1"/>
  <c r="M219" i="3" s="1"/>
  <c r="E219" i="3" a="1"/>
  <c r="E219" i="3" s="1"/>
  <c r="D219" i="3"/>
  <c r="B219" i="3"/>
  <c r="C219" i="3" s="1"/>
  <c r="A219" i="3"/>
  <c r="J218" i="3"/>
  <c r="I218" i="3"/>
  <c r="H218" i="3" a="1"/>
  <c r="H218" i="3" s="1"/>
  <c r="G218" i="3" a="1"/>
  <c r="G218" i="3" s="1"/>
  <c r="M218" i="3" s="1"/>
  <c r="E218" i="3" a="1"/>
  <c r="E218" i="3" s="1"/>
  <c r="D218" i="3"/>
  <c r="B218" i="3"/>
  <c r="C218" i="3" s="1"/>
  <c r="A218" i="3"/>
  <c r="J217" i="3"/>
  <c r="I217" i="3"/>
  <c r="H217" i="3" a="1"/>
  <c r="H217" i="3" s="1"/>
  <c r="G217" i="3" a="1"/>
  <c r="G217" i="3" s="1"/>
  <c r="M217" i="3" s="1"/>
  <c r="E217" i="3" a="1"/>
  <c r="E217" i="3" s="1"/>
  <c r="D217" i="3"/>
  <c r="B217" i="3"/>
  <c r="C217" i="3" s="1"/>
  <c r="A217" i="3"/>
  <c r="J216" i="3"/>
  <c r="I216" i="3"/>
  <c r="H216" i="3" a="1"/>
  <c r="H216" i="3" s="1"/>
  <c r="G216" i="3" a="1"/>
  <c r="G216" i="3" s="1"/>
  <c r="M216" i="3" s="1"/>
  <c r="E216" i="3" a="1"/>
  <c r="E216" i="3" s="1"/>
  <c r="D216" i="3"/>
  <c r="B216" i="3"/>
  <c r="C216" i="3" s="1"/>
  <c r="A216" i="3"/>
  <c r="J215" i="3"/>
  <c r="I215" i="3"/>
  <c r="H215" i="3" a="1"/>
  <c r="H215" i="3" s="1"/>
  <c r="G215" i="3" a="1"/>
  <c r="G215" i="3" s="1"/>
  <c r="M215" i="3" s="1"/>
  <c r="E215" i="3" a="1"/>
  <c r="E215" i="3" s="1"/>
  <c r="D215" i="3"/>
  <c r="B215" i="3"/>
  <c r="C215" i="3" s="1"/>
  <c r="A215" i="3"/>
  <c r="J214" i="3"/>
  <c r="L214" i="3" s="1"/>
  <c r="I214" i="3"/>
  <c r="H214" i="3" a="1"/>
  <c r="H214" i="3" s="1"/>
  <c r="G214" i="3" a="1"/>
  <c r="G214" i="3" s="1"/>
  <c r="M214" i="3" s="1"/>
  <c r="E214" i="3" a="1"/>
  <c r="E214" i="3" s="1"/>
  <c r="D214" i="3"/>
  <c r="B214" i="3"/>
  <c r="C214" i="3" s="1"/>
  <c r="A214" i="3"/>
  <c r="J213" i="3"/>
  <c r="I213" i="3"/>
  <c r="H213" i="3" a="1"/>
  <c r="H213" i="3" s="1"/>
  <c r="G213" i="3" a="1"/>
  <c r="G213" i="3" s="1"/>
  <c r="M213" i="3" s="1"/>
  <c r="E213" i="3" a="1"/>
  <c r="E213" i="3" s="1"/>
  <c r="D213" i="3"/>
  <c r="B213" i="3"/>
  <c r="C213" i="3" s="1"/>
  <c r="A213" i="3"/>
  <c r="J212" i="3"/>
  <c r="L212" i="3" s="1"/>
  <c r="I212" i="3"/>
  <c r="H212" i="3" a="1"/>
  <c r="H212" i="3" s="1"/>
  <c r="G212" i="3" a="1"/>
  <c r="G212" i="3" s="1"/>
  <c r="M212" i="3" s="1"/>
  <c r="E212" i="3" a="1"/>
  <c r="E212" i="3" s="1"/>
  <c r="D212" i="3"/>
  <c r="B212" i="3"/>
  <c r="C212" i="3" s="1"/>
  <c r="A212" i="3"/>
  <c r="J211" i="3"/>
  <c r="L211" i="3" s="1"/>
  <c r="I211" i="3"/>
  <c r="H211" i="3" a="1"/>
  <c r="H211" i="3" s="1"/>
  <c r="G211" i="3" a="1"/>
  <c r="G211" i="3" s="1"/>
  <c r="M211" i="3" s="1"/>
  <c r="E211" i="3" a="1"/>
  <c r="E211" i="3" s="1"/>
  <c r="D211" i="3"/>
  <c r="B211" i="3"/>
  <c r="C211" i="3" s="1"/>
  <c r="A211" i="3"/>
  <c r="J210" i="3"/>
  <c r="I210" i="3"/>
  <c r="H210" i="3" a="1"/>
  <c r="H210" i="3" s="1"/>
  <c r="G210" i="3" a="1"/>
  <c r="G210" i="3" s="1"/>
  <c r="M210" i="3" s="1"/>
  <c r="E210" i="3" a="1"/>
  <c r="E210" i="3" s="1"/>
  <c r="D210" i="3"/>
  <c r="B210" i="3"/>
  <c r="C210" i="3" s="1"/>
  <c r="A210" i="3"/>
  <c r="J209" i="3"/>
  <c r="L209" i="3" s="1"/>
  <c r="I209" i="3"/>
  <c r="H209" i="3" a="1"/>
  <c r="H209" i="3" s="1"/>
  <c r="G209" i="3" a="1"/>
  <c r="G209" i="3" s="1"/>
  <c r="M209" i="3" s="1"/>
  <c r="E209" i="3" a="1"/>
  <c r="E209" i="3" s="1"/>
  <c r="D209" i="3"/>
  <c r="B209" i="3"/>
  <c r="C209" i="3" s="1"/>
  <c r="A209" i="3"/>
  <c r="J208" i="3"/>
  <c r="L208" i="3" s="1"/>
  <c r="I208" i="3"/>
  <c r="H208" i="3" a="1"/>
  <c r="H208" i="3" s="1"/>
  <c r="G208" i="3" a="1"/>
  <c r="G208" i="3" s="1"/>
  <c r="M208" i="3" s="1"/>
  <c r="E208" i="3" a="1"/>
  <c r="E208" i="3" s="1"/>
  <c r="D208" i="3"/>
  <c r="B208" i="3"/>
  <c r="C208" i="3" s="1"/>
  <c r="A208" i="3"/>
  <c r="J207" i="3"/>
  <c r="L207" i="3" s="1"/>
  <c r="I207" i="3"/>
  <c r="H207" i="3" a="1"/>
  <c r="H207" i="3" s="1"/>
  <c r="G207" i="3" a="1"/>
  <c r="G207" i="3" s="1"/>
  <c r="M207" i="3" s="1"/>
  <c r="E207" i="3" a="1"/>
  <c r="E207" i="3" s="1"/>
  <c r="D207" i="3"/>
  <c r="B207" i="3"/>
  <c r="C207" i="3" s="1"/>
  <c r="A207" i="3"/>
  <c r="J206" i="3"/>
  <c r="I206" i="3"/>
  <c r="H206" i="3" a="1"/>
  <c r="H206" i="3" s="1"/>
  <c r="G206" i="3" a="1"/>
  <c r="G206" i="3" s="1"/>
  <c r="M206" i="3" s="1"/>
  <c r="E206" i="3" a="1"/>
  <c r="E206" i="3" s="1"/>
  <c r="D206" i="3"/>
  <c r="B206" i="3"/>
  <c r="C206" i="3" s="1"/>
  <c r="A206" i="3"/>
  <c r="J205" i="3"/>
  <c r="L205" i="3" s="1"/>
  <c r="I205" i="3"/>
  <c r="H205" i="3" a="1"/>
  <c r="H205" i="3" s="1"/>
  <c r="G205" i="3" a="1"/>
  <c r="G205" i="3" s="1"/>
  <c r="M205" i="3" s="1"/>
  <c r="E205" i="3" a="1"/>
  <c r="E205" i="3" s="1"/>
  <c r="D205" i="3"/>
  <c r="B205" i="3"/>
  <c r="C205" i="3" s="1"/>
  <c r="A205" i="3"/>
  <c r="J204" i="3"/>
  <c r="I204" i="3"/>
  <c r="H204" i="3" a="1"/>
  <c r="H204" i="3" s="1"/>
  <c r="G204" i="3" a="1"/>
  <c r="G204" i="3" s="1"/>
  <c r="M204" i="3" s="1"/>
  <c r="E204" i="3" a="1"/>
  <c r="E204" i="3" s="1"/>
  <c r="D204" i="3"/>
  <c r="B204" i="3"/>
  <c r="C204" i="3" s="1"/>
  <c r="A204" i="3"/>
  <c r="J203" i="3"/>
  <c r="L203" i="3" s="1"/>
  <c r="I203" i="3"/>
  <c r="H203" i="3" a="1"/>
  <c r="H203" i="3" s="1"/>
  <c r="G203" i="3" a="1"/>
  <c r="G203" i="3" s="1"/>
  <c r="M203" i="3" s="1"/>
  <c r="E203" i="3" a="1"/>
  <c r="E203" i="3" s="1"/>
  <c r="D203" i="3"/>
  <c r="B203" i="3"/>
  <c r="C203" i="3" s="1"/>
  <c r="A203" i="3"/>
  <c r="J202" i="3"/>
  <c r="L202" i="3" s="1"/>
  <c r="I202" i="3"/>
  <c r="H202" i="3" a="1"/>
  <c r="H202" i="3" s="1"/>
  <c r="G202" i="3" a="1"/>
  <c r="G202" i="3" s="1"/>
  <c r="M202" i="3" s="1"/>
  <c r="E202" i="3" a="1"/>
  <c r="E202" i="3" s="1"/>
  <c r="D202" i="3"/>
  <c r="B202" i="3"/>
  <c r="C202" i="3" s="1"/>
  <c r="A202" i="3"/>
  <c r="J201" i="3"/>
  <c r="I201" i="3"/>
  <c r="H201" i="3" a="1"/>
  <c r="H201" i="3" s="1"/>
  <c r="G201" i="3" a="1"/>
  <c r="G201" i="3" s="1"/>
  <c r="M201" i="3" s="1"/>
  <c r="E201" i="3" a="1"/>
  <c r="E201" i="3" s="1"/>
  <c r="D201" i="3"/>
  <c r="B201" i="3"/>
  <c r="C201" i="3" s="1"/>
  <c r="A201" i="3"/>
  <c r="J200" i="3"/>
  <c r="I200" i="3"/>
  <c r="H200" i="3" a="1"/>
  <c r="H200" i="3" s="1"/>
  <c r="G200" i="3" a="1"/>
  <c r="G200" i="3" s="1"/>
  <c r="M200" i="3" s="1"/>
  <c r="E200" i="3" a="1"/>
  <c r="E200" i="3" s="1"/>
  <c r="D200" i="3"/>
  <c r="B200" i="3"/>
  <c r="C200" i="3" s="1"/>
  <c r="A200" i="3"/>
  <c r="J199" i="3"/>
  <c r="L199" i="3" s="1"/>
  <c r="I199" i="3"/>
  <c r="H199" i="3" a="1"/>
  <c r="H199" i="3" s="1"/>
  <c r="G199" i="3" a="1"/>
  <c r="G199" i="3" s="1"/>
  <c r="M199" i="3" s="1"/>
  <c r="E199" i="3" a="1"/>
  <c r="E199" i="3" s="1"/>
  <c r="D199" i="3"/>
  <c r="B199" i="3"/>
  <c r="C199" i="3" s="1"/>
  <c r="A199" i="3"/>
  <c r="J198" i="3"/>
  <c r="I198" i="3"/>
  <c r="H198" i="3" a="1"/>
  <c r="H198" i="3" s="1"/>
  <c r="G198" i="3" a="1"/>
  <c r="G198" i="3" s="1"/>
  <c r="M198" i="3" s="1"/>
  <c r="E198" i="3" a="1"/>
  <c r="E198" i="3" s="1"/>
  <c r="D198" i="3"/>
  <c r="B198" i="3"/>
  <c r="C198" i="3" s="1"/>
  <c r="A198" i="3"/>
  <c r="J197" i="3"/>
  <c r="I197" i="3"/>
  <c r="H197" i="3" a="1"/>
  <c r="H197" i="3" s="1"/>
  <c r="G197" i="3" a="1"/>
  <c r="G197" i="3" s="1"/>
  <c r="M197" i="3" s="1"/>
  <c r="E197" i="3" a="1"/>
  <c r="E197" i="3" s="1"/>
  <c r="D197" i="3"/>
  <c r="B197" i="3"/>
  <c r="C197" i="3" s="1"/>
  <c r="A197" i="3"/>
  <c r="J196" i="3"/>
  <c r="I196" i="3"/>
  <c r="H196" i="3" a="1"/>
  <c r="H196" i="3" s="1"/>
  <c r="G196" i="3" a="1"/>
  <c r="G196" i="3" s="1"/>
  <c r="M196" i="3" s="1"/>
  <c r="E196" i="3" a="1"/>
  <c r="E196" i="3" s="1"/>
  <c r="D196" i="3"/>
  <c r="B196" i="3"/>
  <c r="C196" i="3" s="1"/>
  <c r="A196" i="3"/>
  <c r="J195" i="3"/>
  <c r="L195" i="3" s="1"/>
  <c r="I195" i="3"/>
  <c r="H195" i="3" a="1"/>
  <c r="H195" i="3" s="1"/>
  <c r="G195" i="3" a="1"/>
  <c r="G195" i="3" s="1"/>
  <c r="M195" i="3" s="1"/>
  <c r="E195" i="3" a="1"/>
  <c r="E195" i="3" s="1"/>
  <c r="D195" i="3"/>
  <c r="B195" i="3"/>
  <c r="C195" i="3" s="1"/>
  <c r="A195" i="3"/>
  <c r="J194" i="3"/>
  <c r="I194" i="3"/>
  <c r="H194" i="3" a="1"/>
  <c r="H194" i="3" s="1"/>
  <c r="G194" i="3" a="1"/>
  <c r="G194" i="3" s="1"/>
  <c r="M194" i="3" s="1"/>
  <c r="E194" i="3" a="1"/>
  <c r="E194" i="3" s="1"/>
  <c r="D194" i="3"/>
  <c r="B194" i="3"/>
  <c r="C194" i="3" s="1"/>
  <c r="A194" i="3"/>
  <c r="J193" i="3"/>
  <c r="I193" i="3"/>
  <c r="H193" i="3" a="1"/>
  <c r="H193" i="3" s="1"/>
  <c r="G193" i="3" a="1"/>
  <c r="G193" i="3" s="1"/>
  <c r="M193" i="3" s="1"/>
  <c r="E193" i="3" a="1"/>
  <c r="E193" i="3" s="1"/>
  <c r="D193" i="3"/>
  <c r="B193" i="3"/>
  <c r="C193" i="3" s="1"/>
  <c r="A193" i="3"/>
  <c r="J192" i="3"/>
  <c r="I192" i="3"/>
  <c r="H192" i="3" a="1"/>
  <c r="H192" i="3" s="1"/>
  <c r="G192" i="3" a="1"/>
  <c r="G192" i="3" s="1"/>
  <c r="M192" i="3" s="1"/>
  <c r="E192" i="3" a="1"/>
  <c r="E192" i="3" s="1"/>
  <c r="D192" i="3"/>
  <c r="B192" i="3"/>
  <c r="C192" i="3" s="1"/>
  <c r="A192" i="3"/>
  <c r="J191" i="3"/>
  <c r="I191" i="3"/>
  <c r="H191" i="3" a="1"/>
  <c r="H191" i="3" s="1"/>
  <c r="G191" i="3" a="1"/>
  <c r="G191" i="3" s="1"/>
  <c r="M191" i="3" s="1"/>
  <c r="E191" i="3" a="1"/>
  <c r="E191" i="3" s="1"/>
  <c r="D191" i="3"/>
  <c r="B191" i="3"/>
  <c r="C191" i="3" s="1"/>
  <c r="A191" i="3"/>
  <c r="J190" i="3"/>
  <c r="L190" i="3" s="1"/>
  <c r="I190" i="3"/>
  <c r="H190" i="3" a="1"/>
  <c r="H190" i="3" s="1"/>
  <c r="G190" i="3" a="1"/>
  <c r="G190" i="3" s="1"/>
  <c r="M190" i="3" s="1"/>
  <c r="E190" i="3" a="1"/>
  <c r="E190" i="3" s="1"/>
  <c r="D190" i="3"/>
  <c r="B190" i="3"/>
  <c r="C190" i="3" s="1"/>
  <c r="A190" i="3"/>
  <c r="J189" i="3"/>
  <c r="I189" i="3"/>
  <c r="H189" i="3" a="1"/>
  <c r="H189" i="3" s="1"/>
  <c r="G189" i="3" a="1"/>
  <c r="G189" i="3" s="1"/>
  <c r="M189" i="3" s="1"/>
  <c r="E189" i="3" a="1"/>
  <c r="E189" i="3" s="1"/>
  <c r="D189" i="3"/>
  <c r="B189" i="3"/>
  <c r="C189" i="3" s="1"/>
  <c r="A189" i="3"/>
  <c r="J188" i="3"/>
  <c r="L188" i="3" s="1"/>
  <c r="I188" i="3"/>
  <c r="H188" i="3" a="1"/>
  <c r="H188" i="3" s="1"/>
  <c r="G188" i="3" a="1"/>
  <c r="G188" i="3" s="1"/>
  <c r="M188" i="3" s="1"/>
  <c r="E188" i="3" a="1"/>
  <c r="E188" i="3" s="1"/>
  <c r="D188" i="3"/>
  <c r="B188" i="3"/>
  <c r="C188" i="3" s="1"/>
  <c r="A188" i="3"/>
  <c r="J187" i="3"/>
  <c r="I187" i="3"/>
  <c r="H187" i="3" a="1"/>
  <c r="H187" i="3" s="1"/>
  <c r="G187" i="3" a="1"/>
  <c r="G187" i="3" s="1"/>
  <c r="M187" i="3" s="1"/>
  <c r="E187" i="3" a="1"/>
  <c r="E187" i="3" s="1"/>
  <c r="D187" i="3"/>
  <c r="B187" i="3"/>
  <c r="C187" i="3" s="1"/>
  <c r="A187" i="3"/>
  <c r="J186" i="3"/>
  <c r="L186" i="3" s="1"/>
  <c r="I186" i="3"/>
  <c r="H186" i="3" a="1"/>
  <c r="H186" i="3" s="1"/>
  <c r="G186" i="3" a="1"/>
  <c r="G186" i="3" s="1"/>
  <c r="M186" i="3" s="1"/>
  <c r="E186" i="3" a="1"/>
  <c r="E186" i="3" s="1"/>
  <c r="D186" i="3"/>
  <c r="B186" i="3"/>
  <c r="C186" i="3" s="1"/>
  <c r="A186" i="3"/>
  <c r="J185" i="3"/>
  <c r="L185" i="3" s="1"/>
  <c r="I185" i="3"/>
  <c r="H185" i="3" a="1"/>
  <c r="H185" i="3" s="1"/>
  <c r="G185" i="3" a="1"/>
  <c r="G185" i="3" s="1"/>
  <c r="M185" i="3" s="1"/>
  <c r="E185" i="3" a="1"/>
  <c r="E185" i="3" s="1"/>
  <c r="D185" i="3"/>
  <c r="B185" i="3"/>
  <c r="C185" i="3" s="1"/>
  <c r="A185" i="3"/>
  <c r="J184" i="3"/>
  <c r="I184" i="3"/>
  <c r="H184" i="3" a="1"/>
  <c r="H184" i="3" s="1"/>
  <c r="G184" i="3" a="1"/>
  <c r="G184" i="3" s="1"/>
  <c r="M184" i="3" s="1"/>
  <c r="E184" i="3" a="1"/>
  <c r="E184" i="3" s="1"/>
  <c r="D184" i="3"/>
  <c r="B184" i="3"/>
  <c r="C184" i="3" s="1"/>
  <c r="A184" i="3"/>
  <c r="J183" i="3"/>
  <c r="I183" i="3"/>
  <c r="H183" i="3" a="1"/>
  <c r="H183" i="3" s="1"/>
  <c r="G183" i="3" a="1"/>
  <c r="G183" i="3" s="1"/>
  <c r="M183" i="3" s="1"/>
  <c r="E183" i="3" a="1"/>
  <c r="E183" i="3" s="1"/>
  <c r="D183" i="3"/>
  <c r="B183" i="3"/>
  <c r="C183" i="3" s="1"/>
  <c r="A183" i="3"/>
  <c r="J182" i="3"/>
  <c r="I182" i="3"/>
  <c r="H182" i="3" a="1"/>
  <c r="H182" i="3" s="1"/>
  <c r="G182" i="3" a="1"/>
  <c r="G182" i="3" s="1"/>
  <c r="M182" i="3" s="1"/>
  <c r="E182" i="3" a="1"/>
  <c r="E182" i="3" s="1"/>
  <c r="D182" i="3"/>
  <c r="B182" i="3"/>
  <c r="C182" i="3" s="1"/>
  <c r="A182" i="3"/>
  <c r="J181" i="3"/>
  <c r="I181" i="3"/>
  <c r="H181" i="3" a="1"/>
  <c r="H181" i="3" s="1"/>
  <c r="G181" i="3" a="1"/>
  <c r="G181" i="3" s="1"/>
  <c r="M181" i="3" s="1"/>
  <c r="E181" i="3" a="1"/>
  <c r="E181" i="3" s="1"/>
  <c r="D181" i="3"/>
  <c r="B181" i="3"/>
  <c r="C181" i="3" s="1"/>
  <c r="A181" i="3"/>
  <c r="J180" i="3"/>
  <c r="I180" i="3"/>
  <c r="H180" i="3" a="1"/>
  <c r="H180" i="3" s="1"/>
  <c r="G180" i="3" a="1"/>
  <c r="G180" i="3" s="1"/>
  <c r="M180" i="3" s="1"/>
  <c r="E180" i="3" a="1"/>
  <c r="E180" i="3" s="1"/>
  <c r="D180" i="3"/>
  <c r="B180" i="3"/>
  <c r="C180" i="3" s="1"/>
  <c r="A180" i="3"/>
  <c r="J179" i="3"/>
  <c r="I179" i="3"/>
  <c r="H179" i="3" a="1"/>
  <c r="H179" i="3" s="1"/>
  <c r="G179" i="3" a="1"/>
  <c r="G179" i="3" s="1"/>
  <c r="M179" i="3" s="1"/>
  <c r="E179" i="3" a="1"/>
  <c r="E179" i="3" s="1"/>
  <c r="D179" i="3"/>
  <c r="B179" i="3"/>
  <c r="C179" i="3" s="1"/>
  <c r="A179" i="3"/>
  <c r="J178" i="3"/>
  <c r="I178" i="3"/>
  <c r="H178" i="3" a="1"/>
  <c r="H178" i="3" s="1"/>
  <c r="G178" i="3" a="1"/>
  <c r="G178" i="3" s="1"/>
  <c r="M178" i="3" s="1"/>
  <c r="E178" i="3" a="1"/>
  <c r="E178" i="3" s="1"/>
  <c r="D178" i="3"/>
  <c r="B178" i="3"/>
  <c r="C178" i="3" s="1"/>
  <c r="A178" i="3"/>
  <c r="J177" i="3"/>
  <c r="L177" i="3" s="1"/>
  <c r="I177" i="3"/>
  <c r="H177" i="3" a="1"/>
  <c r="H177" i="3" s="1"/>
  <c r="G177" i="3" a="1"/>
  <c r="G177" i="3" s="1"/>
  <c r="M177" i="3" s="1"/>
  <c r="E177" i="3" a="1"/>
  <c r="E177" i="3" s="1"/>
  <c r="D177" i="3"/>
  <c r="B177" i="3"/>
  <c r="C177" i="3" s="1"/>
  <c r="A177" i="3"/>
  <c r="J176" i="3"/>
  <c r="L176" i="3" s="1"/>
  <c r="I176" i="3"/>
  <c r="H176" i="3" a="1"/>
  <c r="H176" i="3" s="1"/>
  <c r="G176" i="3" a="1"/>
  <c r="G176" i="3" s="1"/>
  <c r="M176" i="3" s="1"/>
  <c r="E176" i="3" a="1"/>
  <c r="E176" i="3" s="1"/>
  <c r="D176" i="3"/>
  <c r="B176" i="3"/>
  <c r="C176" i="3" s="1"/>
  <c r="A176" i="3"/>
  <c r="J175" i="3"/>
  <c r="L175" i="3" s="1"/>
  <c r="I175" i="3"/>
  <c r="H175" i="3" a="1"/>
  <c r="H175" i="3" s="1"/>
  <c r="G175" i="3" a="1"/>
  <c r="G175" i="3" s="1"/>
  <c r="M175" i="3" s="1"/>
  <c r="E175" i="3" a="1"/>
  <c r="E175" i="3" s="1"/>
  <c r="D175" i="3"/>
  <c r="B175" i="3"/>
  <c r="C175" i="3" s="1"/>
  <c r="A175" i="3"/>
  <c r="J174" i="3"/>
  <c r="I174" i="3"/>
  <c r="H174" i="3" a="1"/>
  <c r="H174" i="3" s="1"/>
  <c r="G174" i="3" a="1"/>
  <c r="G174" i="3" s="1"/>
  <c r="M174" i="3" s="1"/>
  <c r="E174" i="3" a="1"/>
  <c r="E174" i="3" s="1"/>
  <c r="D174" i="3"/>
  <c r="B174" i="3"/>
  <c r="C174" i="3" s="1"/>
  <c r="A174" i="3"/>
  <c r="J173" i="3"/>
  <c r="I173" i="3"/>
  <c r="H173" i="3" a="1"/>
  <c r="H173" i="3" s="1"/>
  <c r="G173" i="3" a="1"/>
  <c r="G173" i="3" s="1"/>
  <c r="M173" i="3" s="1"/>
  <c r="E173" i="3" a="1"/>
  <c r="E173" i="3" s="1"/>
  <c r="D173" i="3"/>
  <c r="B173" i="3"/>
  <c r="C173" i="3" s="1"/>
  <c r="A173" i="3"/>
  <c r="J172" i="3"/>
  <c r="L172" i="3" s="1"/>
  <c r="I172" i="3"/>
  <c r="H172" i="3" a="1"/>
  <c r="H172" i="3" s="1"/>
  <c r="G172" i="3" a="1"/>
  <c r="G172" i="3" s="1"/>
  <c r="M172" i="3" s="1"/>
  <c r="E172" i="3" a="1"/>
  <c r="E172" i="3" s="1"/>
  <c r="D172" i="3"/>
  <c r="B172" i="3"/>
  <c r="C172" i="3" s="1"/>
  <c r="A172" i="3"/>
  <c r="J171" i="3"/>
  <c r="I171" i="3"/>
  <c r="H171" i="3" a="1"/>
  <c r="H171" i="3" s="1"/>
  <c r="G171" i="3" a="1"/>
  <c r="G171" i="3" s="1"/>
  <c r="M171" i="3" s="1"/>
  <c r="E171" i="3" a="1"/>
  <c r="E171" i="3" s="1"/>
  <c r="D171" i="3"/>
  <c r="B171" i="3"/>
  <c r="C171" i="3" s="1"/>
  <c r="A171" i="3"/>
  <c r="J170" i="3"/>
  <c r="I170" i="3"/>
  <c r="H170" i="3" a="1"/>
  <c r="H170" i="3" s="1"/>
  <c r="G170" i="3" a="1"/>
  <c r="G170" i="3" s="1"/>
  <c r="M170" i="3" s="1"/>
  <c r="E170" i="3" a="1"/>
  <c r="E170" i="3" s="1"/>
  <c r="D170" i="3"/>
  <c r="B170" i="3"/>
  <c r="C170" i="3" s="1"/>
  <c r="A170" i="3"/>
  <c r="J169" i="3"/>
  <c r="I169" i="3"/>
  <c r="H169" i="3" a="1"/>
  <c r="H169" i="3" s="1"/>
  <c r="G169" i="3" a="1"/>
  <c r="G169" i="3" s="1"/>
  <c r="M169" i="3" s="1"/>
  <c r="E169" i="3" a="1"/>
  <c r="E169" i="3" s="1"/>
  <c r="D169" i="3"/>
  <c r="B169" i="3"/>
  <c r="C169" i="3" s="1"/>
  <c r="A169" i="3"/>
  <c r="J168" i="3"/>
  <c r="I168" i="3"/>
  <c r="H168" i="3" a="1"/>
  <c r="H168" i="3" s="1"/>
  <c r="G168" i="3" a="1"/>
  <c r="G168" i="3" s="1"/>
  <c r="M168" i="3" s="1"/>
  <c r="E168" i="3" a="1"/>
  <c r="E168" i="3" s="1"/>
  <c r="D168" i="3"/>
  <c r="B168" i="3"/>
  <c r="C168" i="3" s="1"/>
  <c r="A168" i="3"/>
  <c r="J167" i="3"/>
  <c r="L167" i="3" s="1"/>
  <c r="I167" i="3"/>
  <c r="H167" i="3" a="1"/>
  <c r="H167" i="3" s="1"/>
  <c r="G167" i="3" a="1"/>
  <c r="G167" i="3" s="1"/>
  <c r="M167" i="3" s="1"/>
  <c r="E167" i="3" a="1"/>
  <c r="E167" i="3" s="1"/>
  <c r="D167" i="3"/>
  <c r="B167" i="3"/>
  <c r="C167" i="3" s="1"/>
  <c r="A167" i="3"/>
  <c r="J166" i="3"/>
  <c r="L166" i="3" s="1"/>
  <c r="I166" i="3"/>
  <c r="H166" i="3" a="1"/>
  <c r="H166" i="3" s="1"/>
  <c r="G166" i="3" a="1"/>
  <c r="G166" i="3" s="1"/>
  <c r="M166" i="3" s="1"/>
  <c r="E166" i="3" a="1"/>
  <c r="E166" i="3" s="1"/>
  <c r="D166" i="3"/>
  <c r="B166" i="3"/>
  <c r="C166" i="3" s="1"/>
  <c r="A166" i="3"/>
  <c r="J165" i="3"/>
  <c r="L165" i="3" s="1"/>
  <c r="I165" i="3"/>
  <c r="H165" i="3" a="1"/>
  <c r="H165" i="3" s="1"/>
  <c r="G165" i="3" a="1"/>
  <c r="G165" i="3" s="1"/>
  <c r="M165" i="3" s="1"/>
  <c r="E165" i="3" a="1"/>
  <c r="E165" i="3" s="1"/>
  <c r="D165" i="3"/>
  <c r="B165" i="3"/>
  <c r="C165" i="3" s="1"/>
  <c r="A165" i="3"/>
  <c r="J164" i="3"/>
  <c r="L164" i="3" s="1"/>
  <c r="I164" i="3"/>
  <c r="H164" i="3" a="1"/>
  <c r="H164" i="3" s="1"/>
  <c r="G164" i="3" a="1"/>
  <c r="G164" i="3" s="1"/>
  <c r="M164" i="3" s="1"/>
  <c r="E164" i="3" a="1"/>
  <c r="E164" i="3" s="1"/>
  <c r="D164" i="3"/>
  <c r="B164" i="3"/>
  <c r="C164" i="3" s="1"/>
  <c r="A164" i="3"/>
  <c r="J163" i="3"/>
  <c r="I163" i="3"/>
  <c r="H163" i="3" a="1"/>
  <c r="H163" i="3" s="1"/>
  <c r="G163" i="3" a="1"/>
  <c r="G163" i="3" s="1"/>
  <c r="M163" i="3" s="1"/>
  <c r="E163" i="3" a="1"/>
  <c r="E163" i="3" s="1"/>
  <c r="D163" i="3"/>
  <c r="B163" i="3"/>
  <c r="C163" i="3" s="1"/>
  <c r="A163" i="3"/>
  <c r="J162" i="3"/>
  <c r="L162" i="3" s="1"/>
  <c r="I162" i="3"/>
  <c r="H162" i="3" a="1"/>
  <c r="H162" i="3" s="1"/>
  <c r="G162" i="3" a="1"/>
  <c r="G162" i="3" s="1"/>
  <c r="M162" i="3" s="1"/>
  <c r="E162" i="3" a="1"/>
  <c r="E162" i="3" s="1"/>
  <c r="D162" i="3"/>
  <c r="B162" i="3"/>
  <c r="C162" i="3" s="1"/>
  <c r="A162" i="3"/>
  <c r="J161" i="3"/>
  <c r="L161" i="3" s="1"/>
  <c r="I161" i="3"/>
  <c r="H161" i="3" a="1"/>
  <c r="H161" i="3" s="1"/>
  <c r="G161" i="3" a="1"/>
  <c r="G161" i="3" s="1"/>
  <c r="M161" i="3" s="1"/>
  <c r="E161" i="3" a="1"/>
  <c r="E161" i="3" s="1"/>
  <c r="D161" i="3"/>
  <c r="B161" i="3"/>
  <c r="C161" i="3" s="1"/>
  <c r="A161" i="3"/>
  <c r="J160" i="3"/>
  <c r="I160" i="3"/>
  <c r="H160" i="3" a="1"/>
  <c r="H160" i="3" s="1"/>
  <c r="G160" i="3" a="1"/>
  <c r="G160" i="3" s="1"/>
  <c r="M160" i="3" s="1"/>
  <c r="E160" i="3" a="1"/>
  <c r="E160" i="3" s="1"/>
  <c r="D160" i="3"/>
  <c r="B160" i="3"/>
  <c r="C160" i="3" s="1"/>
  <c r="A160" i="3"/>
  <c r="J159" i="3"/>
  <c r="L159" i="3" s="1"/>
  <c r="I159" i="3"/>
  <c r="H159" i="3" a="1"/>
  <c r="H159" i="3" s="1"/>
  <c r="G159" i="3" a="1"/>
  <c r="G159" i="3" s="1"/>
  <c r="M159" i="3" s="1"/>
  <c r="E159" i="3" a="1"/>
  <c r="E159" i="3" s="1"/>
  <c r="D159" i="3"/>
  <c r="B159" i="3"/>
  <c r="C159" i="3" s="1"/>
  <c r="A159" i="3"/>
  <c r="J158" i="3"/>
  <c r="L158" i="3" s="1"/>
  <c r="I158" i="3"/>
  <c r="H158" i="3" a="1"/>
  <c r="H158" i="3" s="1"/>
  <c r="G158" i="3" a="1"/>
  <c r="G158" i="3" s="1"/>
  <c r="M158" i="3" s="1"/>
  <c r="E158" i="3" a="1"/>
  <c r="E158" i="3" s="1"/>
  <c r="D158" i="3"/>
  <c r="B158" i="3"/>
  <c r="C158" i="3" s="1"/>
  <c r="A158" i="3"/>
  <c r="J157" i="3"/>
  <c r="L157" i="3" s="1"/>
  <c r="I157" i="3"/>
  <c r="H157" i="3" a="1"/>
  <c r="H157" i="3" s="1"/>
  <c r="G157" i="3" a="1"/>
  <c r="G157" i="3" s="1"/>
  <c r="M157" i="3" s="1"/>
  <c r="E157" i="3" a="1"/>
  <c r="E157" i="3" s="1"/>
  <c r="D157" i="3"/>
  <c r="B157" i="3"/>
  <c r="C157" i="3" s="1"/>
  <c r="A157" i="3"/>
  <c r="J156" i="3"/>
  <c r="I156" i="3"/>
  <c r="H156" i="3" a="1"/>
  <c r="H156" i="3" s="1"/>
  <c r="G156" i="3" a="1"/>
  <c r="G156" i="3" s="1"/>
  <c r="M156" i="3" s="1"/>
  <c r="E156" i="3" a="1"/>
  <c r="E156" i="3" s="1"/>
  <c r="D156" i="3"/>
  <c r="B156" i="3"/>
  <c r="C156" i="3" s="1"/>
  <c r="A156" i="3"/>
  <c r="J155" i="3"/>
  <c r="I155" i="3"/>
  <c r="H155" i="3" a="1"/>
  <c r="H155" i="3" s="1"/>
  <c r="G155" i="3" a="1"/>
  <c r="G155" i="3" s="1"/>
  <c r="M155" i="3" s="1"/>
  <c r="E155" i="3" a="1"/>
  <c r="E155" i="3" s="1"/>
  <c r="D155" i="3"/>
  <c r="B155" i="3"/>
  <c r="C155" i="3" s="1"/>
  <c r="A155" i="3"/>
  <c r="J154" i="3"/>
  <c r="I154" i="3"/>
  <c r="H154" i="3" a="1"/>
  <c r="H154" i="3" s="1"/>
  <c r="G154" i="3" a="1"/>
  <c r="G154" i="3" s="1"/>
  <c r="M154" i="3" s="1"/>
  <c r="E154" i="3" a="1"/>
  <c r="E154" i="3" s="1"/>
  <c r="D154" i="3"/>
  <c r="B154" i="3"/>
  <c r="C154" i="3" s="1"/>
  <c r="A154" i="3"/>
  <c r="J153" i="3"/>
  <c r="I153" i="3"/>
  <c r="H153" i="3" a="1"/>
  <c r="H153" i="3" s="1"/>
  <c r="G153" i="3" a="1"/>
  <c r="G153" i="3" s="1"/>
  <c r="M153" i="3" s="1"/>
  <c r="E153" i="3" a="1"/>
  <c r="E153" i="3" s="1"/>
  <c r="D153" i="3"/>
  <c r="B153" i="3"/>
  <c r="C153" i="3" s="1"/>
  <c r="A153" i="3"/>
  <c r="J152" i="3"/>
  <c r="I152" i="3"/>
  <c r="H152" i="3" a="1"/>
  <c r="H152" i="3" s="1"/>
  <c r="G152" i="3" a="1"/>
  <c r="G152" i="3" s="1"/>
  <c r="M152" i="3" s="1"/>
  <c r="E152" i="3" a="1"/>
  <c r="E152" i="3" s="1"/>
  <c r="D152" i="3"/>
  <c r="B152" i="3"/>
  <c r="C152" i="3" s="1"/>
  <c r="A152" i="3"/>
  <c r="J151" i="3"/>
  <c r="I151" i="3"/>
  <c r="H151" i="3" a="1"/>
  <c r="H151" i="3" s="1"/>
  <c r="G151" i="3" a="1"/>
  <c r="G151" i="3" s="1"/>
  <c r="M151" i="3" s="1"/>
  <c r="E151" i="3" a="1"/>
  <c r="E151" i="3" s="1"/>
  <c r="D151" i="3"/>
  <c r="B151" i="3"/>
  <c r="C151" i="3" s="1"/>
  <c r="A151" i="3"/>
  <c r="J150" i="3"/>
  <c r="L150" i="3" s="1"/>
  <c r="I150" i="3"/>
  <c r="H150" i="3" a="1"/>
  <c r="H150" i="3" s="1"/>
  <c r="G150" i="3" a="1"/>
  <c r="G150" i="3" s="1"/>
  <c r="M150" i="3" s="1"/>
  <c r="E150" i="3" a="1"/>
  <c r="E150" i="3" s="1"/>
  <c r="D150" i="3"/>
  <c r="B150" i="3"/>
  <c r="C150" i="3" s="1"/>
  <c r="A150" i="3"/>
  <c r="J149" i="3"/>
  <c r="L149" i="3" s="1"/>
  <c r="I149" i="3"/>
  <c r="H149" i="3" a="1"/>
  <c r="H149" i="3" s="1"/>
  <c r="G149" i="3" a="1"/>
  <c r="G149" i="3" s="1"/>
  <c r="M149" i="3" s="1"/>
  <c r="E149" i="3" a="1"/>
  <c r="E149" i="3" s="1"/>
  <c r="D149" i="3"/>
  <c r="B149" i="3"/>
  <c r="C149" i="3" s="1"/>
  <c r="A149" i="3"/>
  <c r="J148" i="3"/>
  <c r="I148" i="3"/>
  <c r="H148" i="3" a="1"/>
  <c r="H148" i="3" s="1"/>
  <c r="G148" i="3" a="1"/>
  <c r="G148" i="3" s="1"/>
  <c r="M148" i="3" s="1"/>
  <c r="E148" i="3" a="1"/>
  <c r="E148" i="3" s="1"/>
  <c r="D148" i="3"/>
  <c r="B148" i="3"/>
  <c r="C148" i="3" s="1"/>
  <c r="A148" i="3"/>
  <c r="J147" i="3"/>
  <c r="L147" i="3" s="1"/>
  <c r="I147" i="3"/>
  <c r="H147" i="3" a="1"/>
  <c r="H147" i="3" s="1"/>
  <c r="G147" i="3" a="1"/>
  <c r="G147" i="3" s="1"/>
  <c r="M147" i="3" s="1"/>
  <c r="E147" i="3" a="1"/>
  <c r="E147" i="3" s="1"/>
  <c r="D147" i="3"/>
  <c r="B147" i="3"/>
  <c r="C147" i="3" s="1"/>
  <c r="A147" i="3"/>
  <c r="J146" i="3"/>
  <c r="I146" i="3"/>
  <c r="H146" i="3" a="1"/>
  <c r="H146" i="3" s="1"/>
  <c r="G146" i="3" a="1"/>
  <c r="G146" i="3" s="1"/>
  <c r="M146" i="3" s="1"/>
  <c r="E146" i="3" a="1"/>
  <c r="E146" i="3" s="1"/>
  <c r="D146" i="3"/>
  <c r="B146" i="3"/>
  <c r="C146" i="3" s="1"/>
  <c r="A146" i="3"/>
  <c r="J145" i="3"/>
  <c r="I145" i="3"/>
  <c r="H145" i="3" a="1"/>
  <c r="H145" i="3" s="1"/>
  <c r="G145" i="3" a="1"/>
  <c r="G145" i="3" s="1"/>
  <c r="M145" i="3" s="1"/>
  <c r="E145" i="3" a="1"/>
  <c r="E145" i="3" s="1"/>
  <c r="D145" i="3"/>
  <c r="B145" i="3"/>
  <c r="C145" i="3" s="1"/>
  <c r="A145" i="3"/>
  <c r="J144" i="3"/>
  <c r="I144" i="3"/>
  <c r="H144" i="3" a="1"/>
  <c r="H144" i="3" s="1"/>
  <c r="G144" i="3" a="1"/>
  <c r="G144" i="3" s="1"/>
  <c r="M144" i="3" s="1"/>
  <c r="E144" i="3" a="1"/>
  <c r="E144" i="3" s="1"/>
  <c r="D144" i="3"/>
  <c r="B144" i="3"/>
  <c r="C144" i="3" s="1"/>
  <c r="A144" i="3"/>
  <c r="J143" i="3"/>
  <c r="I143" i="3"/>
  <c r="H143" i="3" a="1"/>
  <c r="H143" i="3" s="1"/>
  <c r="G143" i="3" a="1"/>
  <c r="G143" i="3" s="1"/>
  <c r="M143" i="3" s="1"/>
  <c r="E143" i="3" a="1"/>
  <c r="E143" i="3" s="1"/>
  <c r="D143" i="3"/>
  <c r="B143" i="3"/>
  <c r="C143" i="3" s="1"/>
  <c r="A143" i="3"/>
  <c r="J142" i="3"/>
  <c r="L142" i="3" s="1"/>
  <c r="I142" i="3"/>
  <c r="H142" i="3" a="1"/>
  <c r="H142" i="3" s="1"/>
  <c r="G142" i="3" a="1"/>
  <c r="G142" i="3" s="1"/>
  <c r="M142" i="3" s="1"/>
  <c r="E142" i="3" a="1"/>
  <c r="E142" i="3" s="1"/>
  <c r="D142" i="3"/>
  <c r="B142" i="3"/>
  <c r="C142" i="3" s="1"/>
  <c r="A142" i="3"/>
  <c r="J141" i="3"/>
  <c r="L141" i="3" s="1"/>
  <c r="I141" i="3"/>
  <c r="H141" i="3" a="1"/>
  <c r="H141" i="3" s="1"/>
  <c r="G141" i="3" a="1"/>
  <c r="G141" i="3" s="1"/>
  <c r="M141" i="3" s="1"/>
  <c r="E141" i="3" a="1"/>
  <c r="E141" i="3" s="1"/>
  <c r="D141" i="3"/>
  <c r="B141" i="3"/>
  <c r="C141" i="3" s="1"/>
  <c r="A141" i="3"/>
  <c r="J140" i="3"/>
  <c r="L140" i="3" s="1"/>
  <c r="I140" i="3"/>
  <c r="H140" i="3" a="1"/>
  <c r="H140" i="3" s="1"/>
  <c r="G140" i="3" a="1"/>
  <c r="G140" i="3" s="1"/>
  <c r="M140" i="3" s="1"/>
  <c r="E140" i="3" a="1"/>
  <c r="E140" i="3" s="1"/>
  <c r="D140" i="3"/>
  <c r="B140" i="3"/>
  <c r="C140" i="3" s="1"/>
  <c r="A140" i="3"/>
  <c r="J139" i="3"/>
  <c r="L139" i="3" s="1"/>
  <c r="I139" i="3"/>
  <c r="H139" i="3" a="1"/>
  <c r="H139" i="3" s="1"/>
  <c r="G139" i="3" a="1"/>
  <c r="G139" i="3" s="1"/>
  <c r="M139" i="3" s="1"/>
  <c r="E139" i="3" a="1"/>
  <c r="E139" i="3" s="1"/>
  <c r="D139" i="3"/>
  <c r="B139" i="3"/>
  <c r="C139" i="3" s="1"/>
  <c r="A139" i="3"/>
  <c r="J138" i="3"/>
  <c r="L138" i="3" s="1"/>
  <c r="I138" i="3"/>
  <c r="H138" i="3" a="1"/>
  <c r="H138" i="3" s="1"/>
  <c r="G138" i="3" a="1"/>
  <c r="G138" i="3" s="1"/>
  <c r="M138" i="3" s="1"/>
  <c r="E138" i="3" a="1"/>
  <c r="E138" i="3" s="1"/>
  <c r="D138" i="3"/>
  <c r="B138" i="3"/>
  <c r="C138" i="3" s="1"/>
  <c r="A138" i="3"/>
  <c r="J137" i="3"/>
  <c r="L137" i="3" s="1"/>
  <c r="I137" i="3"/>
  <c r="H137" i="3" a="1"/>
  <c r="H137" i="3" s="1"/>
  <c r="G137" i="3" a="1"/>
  <c r="G137" i="3" s="1"/>
  <c r="M137" i="3" s="1"/>
  <c r="E137" i="3" a="1"/>
  <c r="E137" i="3" s="1"/>
  <c r="D137" i="3"/>
  <c r="B137" i="3"/>
  <c r="C137" i="3" s="1"/>
  <c r="A137" i="3"/>
  <c r="J136" i="3"/>
  <c r="I136" i="3"/>
  <c r="H136" i="3" a="1"/>
  <c r="H136" i="3" s="1"/>
  <c r="G136" i="3" a="1"/>
  <c r="G136" i="3" s="1"/>
  <c r="M136" i="3" s="1"/>
  <c r="E136" i="3" a="1"/>
  <c r="E136" i="3" s="1"/>
  <c r="D136" i="3"/>
  <c r="B136" i="3"/>
  <c r="C136" i="3" s="1"/>
  <c r="A136" i="3"/>
  <c r="J135" i="3"/>
  <c r="I135" i="3"/>
  <c r="H135" i="3" a="1"/>
  <c r="H135" i="3" s="1"/>
  <c r="G135" i="3" a="1"/>
  <c r="G135" i="3" s="1"/>
  <c r="M135" i="3" s="1"/>
  <c r="E135" i="3" a="1"/>
  <c r="E135" i="3" s="1"/>
  <c r="D135" i="3"/>
  <c r="B135" i="3"/>
  <c r="C135" i="3" s="1"/>
  <c r="A135" i="3"/>
  <c r="J134" i="3"/>
  <c r="L134" i="3" s="1"/>
  <c r="I134" i="3"/>
  <c r="H134" i="3" a="1"/>
  <c r="H134" i="3" s="1"/>
  <c r="G134" i="3" a="1"/>
  <c r="G134" i="3" s="1"/>
  <c r="M134" i="3" s="1"/>
  <c r="E134" i="3" a="1"/>
  <c r="E134" i="3" s="1"/>
  <c r="D134" i="3"/>
  <c r="B134" i="3"/>
  <c r="C134" i="3" s="1"/>
  <c r="A134" i="3"/>
  <c r="J133" i="3"/>
  <c r="I133" i="3"/>
  <c r="H133" i="3" a="1"/>
  <c r="H133" i="3" s="1"/>
  <c r="G133" i="3" a="1"/>
  <c r="G133" i="3" s="1"/>
  <c r="M133" i="3" s="1"/>
  <c r="E133" i="3" a="1"/>
  <c r="E133" i="3" s="1"/>
  <c r="D133" i="3"/>
  <c r="B133" i="3"/>
  <c r="C133" i="3" s="1"/>
  <c r="A133" i="3"/>
  <c r="J132" i="3"/>
  <c r="I132" i="3"/>
  <c r="H132" i="3" a="1"/>
  <c r="H132" i="3" s="1"/>
  <c r="G132" i="3" a="1"/>
  <c r="G132" i="3" s="1"/>
  <c r="M132" i="3" s="1"/>
  <c r="E132" i="3" a="1"/>
  <c r="E132" i="3" s="1"/>
  <c r="D132" i="3"/>
  <c r="B132" i="3"/>
  <c r="C132" i="3" s="1"/>
  <c r="A132" i="3"/>
  <c r="J131" i="3"/>
  <c r="L131" i="3" s="1"/>
  <c r="I131" i="3"/>
  <c r="H131" i="3" a="1"/>
  <c r="H131" i="3" s="1"/>
  <c r="G131" i="3" a="1"/>
  <c r="G131" i="3" s="1"/>
  <c r="M131" i="3" s="1"/>
  <c r="E131" i="3" a="1"/>
  <c r="E131" i="3" s="1"/>
  <c r="D131" i="3"/>
  <c r="B131" i="3"/>
  <c r="C131" i="3" s="1"/>
  <c r="A131" i="3"/>
  <c r="J130" i="3"/>
  <c r="L130" i="3" s="1"/>
  <c r="I130" i="3"/>
  <c r="H130" i="3" a="1"/>
  <c r="H130" i="3" s="1"/>
  <c r="G130" i="3" a="1"/>
  <c r="G130" i="3" s="1"/>
  <c r="M130" i="3" s="1"/>
  <c r="E130" i="3" a="1"/>
  <c r="E130" i="3" s="1"/>
  <c r="D130" i="3"/>
  <c r="B130" i="3"/>
  <c r="C130" i="3" s="1"/>
  <c r="A130" i="3"/>
  <c r="J129" i="3"/>
  <c r="I129" i="3"/>
  <c r="H129" i="3" a="1"/>
  <c r="H129" i="3" s="1"/>
  <c r="G129" i="3" a="1"/>
  <c r="G129" i="3" s="1"/>
  <c r="M129" i="3" s="1"/>
  <c r="E129" i="3" a="1"/>
  <c r="E129" i="3" s="1"/>
  <c r="D129" i="3"/>
  <c r="B129" i="3"/>
  <c r="C129" i="3" s="1"/>
  <c r="A129" i="3"/>
  <c r="J128" i="3"/>
  <c r="I128" i="3"/>
  <c r="H128" i="3" a="1"/>
  <c r="H128" i="3" s="1"/>
  <c r="G128" i="3" a="1"/>
  <c r="G128" i="3" s="1"/>
  <c r="M128" i="3" s="1"/>
  <c r="E128" i="3" a="1"/>
  <c r="E128" i="3" s="1"/>
  <c r="D128" i="3"/>
  <c r="B128" i="3"/>
  <c r="C128" i="3" s="1"/>
  <c r="A128" i="3"/>
  <c r="J127" i="3"/>
  <c r="I127" i="3"/>
  <c r="H127" i="3" a="1"/>
  <c r="H127" i="3" s="1"/>
  <c r="G127" i="3" a="1"/>
  <c r="G127" i="3" s="1"/>
  <c r="M127" i="3" s="1"/>
  <c r="E127" i="3" a="1"/>
  <c r="E127" i="3" s="1"/>
  <c r="D127" i="3"/>
  <c r="B127" i="3"/>
  <c r="C127" i="3" s="1"/>
  <c r="A127" i="3"/>
  <c r="J126" i="3"/>
  <c r="I126" i="3"/>
  <c r="H126" i="3" a="1"/>
  <c r="H126" i="3" s="1"/>
  <c r="G126" i="3" a="1"/>
  <c r="G126" i="3" s="1"/>
  <c r="M126" i="3" s="1"/>
  <c r="E126" i="3" a="1"/>
  <c r="E126" i="3" s="1"/>
  <c r="D126" i="3"/>
  <c r="B126" i="3"/>
  <c r="C126" i="3" s="1"/>
  <c r="A126" i="3"/>
  <c r="J125" i="3"/>
  <c r="L125" i="3" s="1"/>
  <c r="I125" i="3"/>
  <c r="H125" i="3" a="1"/>
  <c r="H125" i="3" s="1"/>
  <c r="G125" i="3" a="1"/>
  <c r="G125" i="3" s="1"/>
  <c r="M125" i="3" s="1"/>
  <c r="E125" i="3" a="1"/>
  <c r="E125" i="3" s="1"/>
  <c r="D125" i="3"/>
  <c r="B125" i="3"/>
  <c r="C125" i="3" s="1"/>
  <c r="A125" i="3"/>
  <c r="J124" i="3"/>
  <c r="L124" i="3" s="1"/>
  <c r="I124" i="3"/>
  <c r="H124" i="3" a="1"/>
  <c r="H124" i="3" s="1"/>
  <c r="G124" i="3" a="1"/>
  <c r="G124" i="3" s="1"/>
  <c r="M124" i="3" s="1"/>
  <c r="E124" i="3" a="1"/>
  <c r="E124" i="3" s="1"/>
  <c r="D124" i="3"/>
  <c r="B124" i="3"/>
  <c r="C124" i="3" s="1"/>
  <c r="A124" i="3"/>
  <c r="J123" i="3"/>
  <c r="L123" i="3" s="1"/>
  <c r="I123" i="3"/>
  <c r="H123" i="3" a="1"/>
  <c r="H123" i="3" s="1"/>
  <c r="G123" i="3" a="1"/>
  <c r="G123" i="3" s="1"/>
  <c r="M123" i="3" s="1"/>
  <c r="E123" i="3" a="1"/>
  <c r="E123" i="3" s="1"/>
  <c r="D123" i="3"/>
  <c r="B123" i="3"/>
  <c r="C123" i="3" s="1"/>
  <c r="A123" i="3"/>
  <c r="J122" i="3"/>
  <c r="I122" i="3"/>
  <c r="H122" i="3" a="1"/>
  <c r="H122" i="3" s="1"/>
  <c r="G122" i="3" a="1"/>
  <c r="G122" i="3" s="1"/>
  <c r="M122" i="3" s="1"/>
  <c r="E122" i="3" a="1"/>
  <c r="E122" i="3" s="1"/>
  <c r="D122" i="3"/>
  <c r="B122" i="3"/>
  <c r="C122" i="3" s="1"/>
  <c r="A122" i="3"/>
  <c r="J121" i="3"/>
  <c r="I121" i="3"/>
  <c r="H121" i="3" a="1"/>
  <c r="H121" i="3" s="1"/>
  <c r="G121" i="3" a="1"/>
  <c r="G121" i="3" s="1"/>
  <c r="M121" i="3" s="1"/>
  <c r="E121" i="3" a="1"/>
  <c r="E121" i="3" s="1"/>
  <c r="D121" i="3"/>
  <c r="B121" i="3"/>
  <c r="C121" i="3" s="1"/>
  <c r="A121" i="3"/>
  <c r="J120" i="3"/>
  <c r="I120" i="3"/>
  <c r="H120" i="3" a="1"/>
  <c r="H120" i="3" s="1"/>
  <c r="G120" i="3" a="1"/>
  <c r="G120" i="3" s="1"/>
  <c r="M120" i="3" s="1"/>
  <c r="E120" i="3" a="1"/>
  <c r="E120" i="3" s="1"/>
  <c r="D120" i="3"/>
  <c r="B120" i="3"/>
  <c r="C120" i="3" s="1"/>
  <c r="A120" i="3"/>
  <c r="J119" i="3"/>
  <c r="I119" i="3"/>
  <c r="H119" i="3" a="1"/>
  <c r="H119" i="3" s="1"/>
  <c r="G119" i="3" a="1"/>
  <c r="G119" i="3" s="1"/>
  <c r="M119" i="3" s="1"/>
  <c r="E119" i="3" a="1"/>
  <c r="E119" i="3" s="1"/>
  <c r="D119" i="3"/>
  <c r="B119" i="3"/>
  <c r="C119" i="3" s="1"/>
  <c r="A119" i="3"/>
  <c r="J118" i="3"/>
  <c r="L118" i="3" s="1"/>
  <c r="I118" i="3"/>
  <c r="H118" i="3" a="1"/>
  <c r="H118" i="3" s="1"/>
  <c r="G118" i="3" a="1"/>
  <c r="G118" i="3" s="1"/>
  <c r="M118" i="3" s="1"/>
  <c r="E118" i="3" a="1"/>
  <c r="E118" i="3" s="1"/>
  <c r="D118" i="3"/>
  <c r="B118" i="3"/>
  <c r="C118" i="3" s="1"/>
  <c r="A118" i="3"/>
  <c r="J117" i="3"/>
  <c r="I117" i="3"/>
  <c r="H117" i="3" a="1"/>
  <c r="H117" i="3" s="1"/>
  <c r="G117" i="3" a="1"/>
  <c r="G117" i="3" s="1"/>
  <c r="M117" i="3" s="1"/>
  <c r="E117" i="3" a="1"/>
  <c r="E117" i="3" s="1"/>
  <c r="D117" i="3"/>
  <c r="B117" i="3"/>
  <c r="C117" i="3" s="1"/>
  <c r="A117" i="3"/>
  <c r="J116" i="3"/>
  <c r="L116" i="3" s="1"/>
  <c r="I116" i="3"/>
  <c r="H116" i="3" a="1"/>
  <c r="H116" i="3" s="1"/>
  <c r="G116" i="3" a="1"/>
  <c r="G116" i="3" s="1"/>
  <c r="M116" i="3" s="1"/>
  <c r="E116" i="3" a="1"/>
  <c r="E116" i="3" s="1"/>
  <c r="D116" i="3"/>
  <c r="B116" i="3"/>
  <c r="C116" i="3" s="1"/>
  <c r="A116" i="3"/>
  <c r="J115" i="3"/>
  <c r="L115" i="3" s="1"/>
  <c r="I115" i="3"/>
  <c r="H115" i="3" a="1"/>
  <c r="H115" i="3" s="1"/>
  <c r="G115" i="3" a="1"/>
  <c r="G115" i="3" s="1"/>
  <c r="M115" i="3" s="1"/>
  <c r="E115" i="3" a="1"/>
  <c r="E115" i="3" s="1"/>
  <c r="D115" i="3"/>
  <c r="B115" i="3"/>
  <c r="C115" i="3" s="1"/>
  <c r="A115" i="3"/>
  <c r="J114" i="3"/>
  <c r="I114" i="3"/>
  <c r="H114" i="3" a="1"/>
  <c r="H114" i="3" s="1"/>
  <c r="G114" i="3" a="1"/>
  <c r="G114" i="3" s="1"/>
  <c r="M114" i="3" s="1"/>
  <c r="E114" i="3" a="1"/>
  <c r="E114" i="3" s="1"/>
  <c r="D114" i="3"/>
  <c r="B114" i="3"/>
  <c r="C114" i="3" s="1"/>
  <c r="A114" i="3"/>
  <c r="J113" i="3"/>
  <c r="I113" i="3"/>
  <c r="H113" i="3" a="1"/>
  <c r="H113" i="3" s="1"/>
  <c r="G113" i="3" a="1"/>
  <c r="G113" i="3" s="1"/>
  <c r="M113" i="3" s="1"/>
  <c r="E113" i="3" a="1"/>
  <c r="E113" i="3" s="1"/>
  <c r="D113" i="3"/>
  <c r="B113" i="3"/>
  <c r="C113" i="3" s="1"/>
  <c r="A113" i="3"/>
  <c r="J112" i="3"/>
  <c r="I112" i="3"/>
  <c r="H112" i="3" a="1"/>
  <c r="H112" i="3" s="1"/>
  <c r="G112" i="3" a="1"/>
  <c r="G112" i="3" s="1"/>
  <c r="M112" i="3" s="1"/>
  <c r="E112" i="3" a="1"/>
  <c r="E112" i="3" s="1"/>
  <c r="D112" i="3"/>
  <c r="B112" i="3"/>
  <c r="C112" i="3" s="1"/>
  <c r="A112" i="3"/>
  <c r="J111" i="3"/>
  <c r="I111" i="3"/>
  <c r="H111" i="3" a="1"/>
  <c r="H111" i="3" s="1"/>
  <c r="G111" i="3" a="1"/>
  <c r="G111" i="3" s="1"/>
  <c r="M111" i="3" s="1"/>
  <c r="E111" i="3" a="1"/>
  <c r="E111" i="3" s="1"/>
  <c r="D111" i="3"/>
  <c r="B111" i="3"/>
  <c r="C111" i="3" s="1"/>
  <c r="A111" i="3"/>
  <c r="J110" i="3"/>
  <c r="L110" i="3" s="1"/>
  <c r="I110" i="3"/>
  <c r="H110" i="3" a="1"/>
  <c r="H110" i="3" s="1"/>
  <c r="G110" i="3" a="1"/>
  <c r="G110" i="3" s="1"/>
  <c r="M110" i="3" s="1"/>
  <c r="E110" i="3" a="1"/>
  <c r="E110" i="3" s="1"/>
  <c r="D110" i="3"/>
  <c r="B110" i="3"/>
  <c r="C110" i="3" s="1"/>
  <c r="A110" i="3"/>
  <c r="J109" i="3"/>
  <c r="L109" i="3" s="1"/>
  <c r="I109" i="3"/>
  <c r="H109" i="3" a="1"/>
  <c r="H109" i="3" s="1"/>
  <c r="G109" i="3" a="1"/>
  <c r="G109" i="3" s="1"/>
  <c r="M109" i="3" s="1"/>
  <c r="E109" i="3" a="1"/>
  <c r="E109" i="3" s="1"/>
  <c r="D109" i="3"/>
  <c r="B109" i="3"/>
  <c r="C109" i="3" s="1"/>
  <c r="A109" i="3"/>
  <c r="J108" i="3"/>
  <c r="L108" i="3" s="1"/>
  <c r="I108" i="3"/>
  <c r="H108" i="3" a="1"/>
  <c r="H108" i="3" s="1"/>
  <c r="G108" i="3" a="1"/>
  <c r="G108" i="3" s="1"/>
  <c r="M108" i="3" s="1"/>
  <c r="E108" i="3" a="1"/>
  <c r="E108" i="3" s="1"/>
  <c r="D108" i="3"/>
  <c r="B108" i="3"/>
  <c r="C108" i="3" s="1"/>
  <c r="A108" i="3"/>
  <c r="J107" i="3"/>
  <c r="L107" i="3" s="1"/>
  <c r="I107" i="3"/>
  <c r="H107" i="3" a="1"/>
  <c r="H107" i="3" s="1"/>
  <c r="G107" i="3" a="1"/>
  <c r="G107" i="3" s="1"/>
  <c r="M107" i="3" s="1"/>
  <c r="E107" i="3" a="1"/>
  <c r="E107" i="3" s="1"/>
  <c r="D107" i="3"/>
  <c r="B107" i="3"/>
  <c r="C107" i="3" s="1"/>
  <c r="A107" i="3"/>
  <c r="J106" i="3"/>
  <c r="I106" i="3"/>
  <c r="H106" i="3" a="1"/>
  <c r="H106" i="3" s="1"/>
  <c r="G106" i="3" a="1"/>
  <c r="G106" i="3" s="1"/>
  <c r="M106" i="3" s="1"/>
  <c r="E106" i="3" a="1"/>
  <c r="E106" i="3" s="1"/>
  <c r="D106" i="3"/>
  <c r="B106" i="3"/>
  <c r="C106" i="3" s="1"/>
  <c r="A106" i="3"/>
  <c r="J105" i="3"/>
  <c r="I105" i="3"/>
  <c r="H105" i="3" a="1"/>
  <c r="H105" i="3" s="1"/>
  <c r="G105" i="3" a="1"/>
  <c r="G105" i="3" s="1"/>
  <c r="M105" i="3" s="1"/>
  <c r="E105" i="3" a="1"/>
  <c r="E105" i="3" s="1"/>
  <c r="D105" i="3"/>
  <c r="B105" i="3"/>
  <c r="C105" i="3" s="1"/>
  <c r="A105" i="3"/>
  <c r="J104" i="3"/>
  <c r="I104" i="3"/>
  <c r="H104" i="3" a="1"/>
  <c r="H104" i="3" s="1"/>
  <c r="G104" i="3" a="1"/>
  <c r="G104" i="3" s="1"/>
  <c r="M104" i="3" s="1"/>
  <c r="E104" i="3" a="1"/>
  <c r="E104" i="3" s="1"/>
  <c r="D104" i="3"/>
  <c r="B104" i="3"/>
  <c r="C104" i="3" s="1"/>
  <c r="A104" i="3"/>
  <c r="J103" i="3"/>
  <c r="L103" i="3" s="1"/>
  <c r="I103" i="3"/>
  <c r="H103" i="3" a="1"/>
  <c r="H103" i="3" s="1"/>
  <c r="G103" i="3" a="1"/>
  <c r="G103" i="3" s="1"/>
  <c r="M103" i="3" s="1"/>
  <c r="E103" i="3" a="1"/>
  <c r="E103" i="3" s="1"/>
  <c r="D103" i="3"/>
  <c r="B103" i="3"/>
  <c r="C103" i="3" s="1"/>
  <c r="A103" i="3"/>
  <c r="J102" i="3"/>
  <c r="I102" i="3"/>
  <c r="H102" i="3" a="1"/>
  <c r="H102" i="3" s="1"/>
  <c r="G102" i="3" a="1"/>
  <c r="G102" i="3" s="1"/>
  <c r="M102" i="3" s="1"/>
  <c r="E102" i="3" a="1"/>
  <c r="E102" i="3" s="1"/>
  <c r="D102" i="3"/>
  <c r="B102" i="3"/>
  <c r="C102" i="3" s="1"/>
  <c r="A102" i="3"/>
  <c r="J101" i="3"/>
  <c r="I101" i="3"/>
  <c r="H101" i="3" a="1"/>
  <c r="H101" i="3" s="1"/>
  <c r="G101" i="3" a="1"/>
  <c r="G101" i="3" s="1"/>
  <c r="M101" i="3" s="1"/>
  <c r="E101" i="3" a="1"/>
  <c r="E101" i="3" s="1"/>
  <c r="D101" i="3"/>
  <c r="B101" i="3"/>
  <c r="C101" i="3" s="1"/>
  <c r="A101" i="3"/>
  <c r="J100" i="3"/>
  <c r="I100" i="3"/>
  <c r="H100" i="3" a="1"/>
  <c r="H100" i="3" s="1"/>
  <c r="G100" i="3" a="1"/>
  <c r="G100" i="3" s="1"/>
  <c r="M100" i="3" s="1"/>
  <c r="E100" i="3" a="1"/>
  <c r="E100" i="3" s="1"/>
  <c r="D100" i="3"/>
  <c r="B100" i="3"/>
  <c r="C100" i="3" s="1"/>
  <c r="A100" i="3"/>
  <c r="J99" i="3"/>
  <c r="I99" i="3"/>
  <c r="H99" i="3" a="1"/>
  <c r="H99" i="3" s="1"/>
  <c r="G99" i="3" a="1"/>
  <c r="G99" i="3" s="1"/>
  <c r="M99" i="3" s="1"/>
  <c r="E99" i="3" a="1"/>
  <c r="E99" i="3" s="1"/>
  <c r="D99" i="3"/>
  <c r="B99" i="3"/>
  <c r="C99" i="3" s="1"/>
  <c r="A99" i="3"/>
  <c r="J98" i="3"/>
  <c r="L98" i="3" s="1"/>
  <c r="I98" i="3"/>
  <c r="H98" i="3" a="1"/>
  <c r="H98" i="3" s="1"/>
  <c r="G98" i="3" a="1"/>
  <c r="G98" i="3" s="1"/>
  <c r="M98" i="3" s="1"/>
  <c r="E98" i="3" a="1"/>
  <c r="E98" i="3" s="1"/>
  <c r="D98" i="3"/>
  <c r="B98" i="3"/>
  <c r="C98" i="3" s="1"/>
  <c r="A98" i="3"/>
  <c r="J97" i="3"/>
  <c r="I97" i="3"/>
  <c r="H97" i="3" a="1"/>
  <c r="H97" i="3" s="1"/>
  <c r="G97" i="3" a="1"/>
  <c r="G97" i="3" s="1"/>
  <c r="M97" i="3" s="1"/>
  <c r="E97" i="3" a="1"/>
  <c r="E97" i="3" s="1"/>
  <c r="D97" i="3"/>
  <c r="B97" i="3"/>
  <c r="C97" i="3" s="1"/>
  <c r="A97" i="3"/>
  <c r="J96" i="3"/>
  <c r="I96" i="3"/>
  <c r="H96" i="3" a="1"/>
  <c r="H96" i="3" s="1"/>
  <c r="G96" i="3" a="1"/>
  <c r="G96" i="3" s="1"/>
  <c r="M96" i="3" s="1"/>
  <c r="E96" i="3" a="1"/>
  <c r="E96" i="3" s="1"/>
  <c r="D96" i="3"/>
  <c r="B96" i="3"/>
  <c r="C96" i="3" s="1"/>
  <c r="A96" i="3"/>
  <c r="J95" i="3"/>
  <c r="L95" i="3" s="1"/>
  <c r="I95" i="3"/>
  <c r="H95" i="3" a="1"/>
  <c r="H95" i="3" s="1"/>
  <c r="G95" i="3" a="1"/>
  <c r="G95" i="3" s="1"/>
  <c r="M95" i="3" s="1"/>
  <c r="E95" i="3" a="1"/>
  <c r="E95" i="3" s="1"/>
  <c r="D95" i="3"/>
  <c r="B95" i="3"/>
  <c r="C95" i="3" s="1"/>
  <c r="A95" i="3"/>
  <c r="J94" i="3"/>
  <c r="I94" i="3"/>
  <c r="H94" i="3" a="1"/>
  <c r="H94" i="3" s="1"/>
  <c r="G94" i="3" a="1"/>
  <c r="G94" i="3" s="1"/>
  <c r="M94" i="3" s="1"/>
  <c r="E94" i="3" a="1"/>
  <c r="E94" i="3" s="1"/>
  <c r="D94" i="3"/>
  <c r="B94" i="3"/>
  <c r="C94" i="3" s="1"/>
  <c r="A94" i="3"/>
  <c r="J93" i="3"/>
  <c r="I93" i="3"/>
  <c r="H93" i="3" a="1"/>
  <c r="H93" i="3" s="1"/>
  <c r="G93" i="3" a="1"/>
  <c r="G93" i="3" s="1"/>
  <c r="M93" i="3" s="1"/>
  <c r="E93" i="3" a="1"/>
  <c r="E93" i="3" s="1"/>
  <c r="D93" i="3"/>
  <c r="B93" i="3"/>
  <c r="C93" i="3" s="1"/>
  <c r="A93" i="3"/>
  <c r="J92" i="3"/>
  <c r="I92" i="3"/>
  <c r="H92" i="3" a="1"/>
  <c r="H92" i="3" s="1"/>
  <c r="G92" i="3" a="1"/>
  <c r="G92" i="3" s="1"/>
  <c r="M92" i="3" s="1"/>
  <c r="E92" i="3" a="1"/>
  <c r="E92" i="3" s="1"/>
  <c r="D92" i="3"/>
  <c r="B92" i="3"/>
  <c r="C92" i="3" s="1"/>
  <c r="A92" i="3"/>
  <c r="J91" i="3"/>
  <c r="I91" i="3"/>
  <c r="H91" i="3" a="1"/>
  <c r="H91" i="3" s="1"/>
  <c r="G91" i="3" a="1"/>
  <c r="G91" i="3" s="1"/>
  <c r="M91" i="3" s="1"/>
  <c r="E91" i="3" a="1"/>
  <c r="E91" i="3" s="1"/>
  <c r="D91" i="3"/>
  <c r="B91" i="3"/>
  <c r="C91" i="3" s="1"/>
  <c r="A91" i="3"/>
  <c r="J90" i="3"/>
  <c r="L90" i="3" s="1"/>
  <c r="I90" i="3"/>
  <c r="H90" i="3" a="1"/>
  <c r="H90" i="3" s="1"/>
  <c r="G90" i="3" a="1"/>
  <c r="G90" i="3" s="1"/>
  <c r="M90" i="3" s="1"/>
  <c r="E90" i="3" a="1"/>
  <c r="E90" i="3" s="1"/>
  <c r="D90" i="3"/>
  <c r="B90" i="3"/>
  <c r="C90" i="3" s="1"/>
  <c r="A90" i="3"/>
  <c r="J89" i="3"/>
  <c r="L89" i="3" s="1"/>
  <c r="I89" i="3"/>
  <c r="H89" i="3" a="1"/>
  <c r="H89" i="3" s="1"/>
  <c r="G89" i="3" a="1"/>
  <c r="G89" i="3" s="1"/>
  <c r="M89" i="3" s="1"/>
  <c r="E89" i="3" a="1"/>
  <c r="E89" i="3" s="1"/>
  <c r="D89" i="3"/>
  <c r="B89" i="3"/>
  <c r="C89" i="3" s="1"/>
  <c r="A89" i="3"/>
  <c r="J88" i="3"/>
  <c r="L88" i="3" s="1"/>
  <c r="I88" i="3"/>
  <c r="H88" i="3" a="1"/>
  <c r="H88" i="3" s="1"/>
  <c r="G88" i="3" a="1"/>
  <c r="G88" i="3" s="1"/>
  <c r="M88" i="3" s="1"/>
  <c r="E88" i="3" a="1"/>
  <c r="E88" i="3" s="1"/>
  <c r="D88" i="3"/>
  <c r="B88" i="3"/>
  <c r="C88" i="3" s="1"/>
  <c r="A88" i="3"/>
  <c r="J87" i="3"/>
  <c r="I87" i="3"/>
  <c r="H87" i="3" a="1"/>
  <c r="H87" i="3" s="1"/>
  <c r="G87" i="3" a="1"/>
  <c r="G87" i="3" s="1"/>
  <c r="M87" i="3" s="1"/>
  <c r="E87" i="3" a="1"/>
  <c r="E87" i="3" s="1"/>
  <c r="D87" i="3"/>
  <c r="B87" i="3"/>
  <c r="C87" i="3" s="1"/>
  <c r="A87" i="3"/>
  <c r="J86" i="3"/>
  <c r="I86" i="3"/>
  <c r="H86" i="3" a="1"/>
  <c r="H86" i="3" s="1"/>
  <c r="G86" i="3" a="1"/>
  <c r="G86" i="3" s="1"/>
  <c r="M86" i="3" s="1"/>
  <c r="E86" i="3" a="1"/>
  <c r="E86" i="3" s="1"/>
  <c r="D86" i="3"/>
  <c r="B86" i="3"/>
  <c r="C86" i="3" s="1"/>
  <c r="A86" i="3"/>
  <c r="J85" i="3"/>
  <c r="I85" i="3"/>
  <c r="H85" i="3" a="1"/>
  <c r="H85" i="3" s="1"/>
  <c r="G85" i="3" a="1"/>
  <c r="G85" i="3" s="1"/>
  <c r="M85" i="3" s="1"/>
  <c r="E85" i="3" a="1"/>
  <c r="E85" i="3" s="1"/>
  <c r="D85" i="3"/>
  <c r="B85" i="3"/>
  <c r="C85" i="3" s="1"/>
  <c r="A85" i="3"/>
  <c r="J84" i="3"/>
  <c r="I84" i="3"/>
  <c r="H84" i="3" a="1"/>
  <c r="H84" i="3" s="1"/>
  <c r="G84" i="3" a="1"/>
  <c r="G84" i="3" s="1"/>
  <c r="M84" i="3" s="1"/>
  <c r="E84" i="3" a="1"/>
  <c r="E84" i="3" s="1"/>
  <c r="D84" i="3"/>
  <c r="B84" i="3"/>
  <c r="C84" i="3" s="1"/>
  <c r="A84" i="3"/>
  <c r="J83" i="3"/>
  <c r="L83" i="3" s="1"/>
  <c r="I83" i="3"/>
  <c r="H83" i="3" a="1"/>
  <c r="H83" i="3" s="1"/>
  <c r="G83" i="3" a="1"/>
  <c r="G83" i="3" s="1"/>
  <c r="M83" i="3" s="1"/>
  <c r="E83" i="3" a="1"/>
  <c r="E83" i="3" s="1"/>
  <c r="D83" i="3"/>
  <c r="B83" i="3"/>
  <c r="C83" i="3" s="1"/>
  <c r="A83" i="3"/>
  <c r="J82" i="3"/>
  <c r="L82" i="3" s="1"/>
  <c r="I82" i="3"/>
  <c r="H82" i="3" a="1"/>
  <c r="H82" i="3" s="1"/>
  <c r="G82" i="3" a="1"/>
  <c r="G82" i="3" s="1"/>
  <c r="M82" i="3" s="1"/>
  <c r="E82" i="3" a="1"/>
  <c r="E82" i="3" s="1"/>
  <c r="D82" i="3"/>
  <c r="B82" i="3"/>
  <c r="C82" i="3" s="1"/>
  <c r="A82" i="3"/>
  <c r="J81" i="3"/>
  <c r="L81" i="3" s="1"/>
  <c r="I81" i="3"/>
  <c r="H81" i="3" a="1"/>
  <c r="H81" i="3" s="1"/>
  <c r="G81" i="3" a="1"/>
  <c r="G81" i="3" s="1"/>
  <c r="M81" i="3" s="1"/>
  <c r="E81" i="3" a="1"/>
  <c r="E81" i="3" s="1"/>
  <c r="D81" i="3"/>
  <c r="B81" i="3"/>
  <c r="C81" i="3" s="1"/>
  <c r="A81" i="3"/>
  <c r="J80" i="3"/>
  <c r="L80" i="3" s="1"/>
  <c r="I80" i="3"/>
  <c r="H80" i="3" a="1"/>
  <c r="H80" i="3" s="1"/>
  <c r="G80" i="3" a="1"/>
  <c r="G80" i="3" s="1"/>
  <c r="M80" i="3" s="1"/>
  <c r="E80" i="3" a="1"/>
  <c r="E80" i="3" s="1"/>
  <c r="D80" i="3"/>
  <c r="B80" i="3"/>
  <c r="C80" i="3" s="1"/>
  <c r="A80" i="3"/>
  <c r="J79" i="3"/>
  <c r="L79" i="3" s="1"/>
  <c r="I79" i="3"/>
  <c r="H79" i="3" a="1"/>
  <c r="H79" i="3" s="1"/>
  <c r="G79" i="3" a="1"/>
  <c r="G79" i="3" s="1"/>
  <c r="M79" i="3" s="1"/>
  <c r="E79" i="3" a="1"/>
  <c r="E79" i="3" s="1"/>
  <c r="D79" i="3"/>
  <c r="B79" i="3"/>
  <c r="C79" i="3" s="1"/>
  <c r="A79" i="3"/>
  <c r="J78" i="3"/>
  <c r="L78" i="3" s="1"/>
  <c r="I78" i="3"/>
  <c r="H78" i="3" a="1"/>
  <c r="H78" i="3" s="1"/>
  <c r="G78" i="3" a="1"/>
  <c r="G78" i="3" s="1"/>
  <c r="M78" i="3" s="1"/>
  <c r="E78" i="3" a="1"/>
  <c r="E78" i="3" s="1"/>
  <c r="D78" i="3"/>
  <c r="B78" i="3"/>
  <c r="C78" i="3" s="1"/>
  <c r="A78" i="3"/>
  <c r="J77" i="3"/>
  <c r="L77" i="3" s="1"/>
  <c r="I77" i="3"/>
  <c r="H77" i="3" a="1"/>
  <c r="H77" i="3" s="1"/>
  <c r="G77" i="3" a="1"/>
  <c r="G77" i="3" s="1"/>
  <c r="M77" i="3" s="1"/>
  <c r="E77" i="3" a="1"/>
  <c r="E77" i="3" s="1"/>
  <c r="D77" i="3"/>
  <c r="B77" i="3"/>
  <c r="C77" i="3" s="1"/>
  <c r="A77" i="3"/>
  <c r="J76" i="3"/>
  <c r="I76" i="3"/>
  <c r="H76" i="3" a="1"/>
  <c r="H76" i="3" s="1"/>
  <c r="G76" i="3" a="1"/>
  <c r="G76" i="3" s="1"/>
  <c r="M76" i="3" s="1"/>
  <c r="E76" i="3" a="1"/>
  <c r="E76" i="3" s="1"/>
  <c r="D76" i="3"/>
  <c r="B76" i="3"/>
  <c r="C76" i="3" s="1"/>
  <c r="A76" i="3"/>
  <c r="J75" i="3"/>
  <c r="L75" i="3" s="1"/>
  <c r="I75" i="3"/>
  <c r="H75" i="3" a="1"/>
  <c r="H75" i="3" s="1"/>
  <c r="G75" i="3" a="1"/>
  <c r="G75" i="3" s="1"/>
  <c r="M75" i="3" s="1"/>
  <c r="E75" i="3" a="1"/>
  <c r="E75" i="3" s="1"/>
  <c r="D75" i="3"/>
  <c r="B75" i="3"/>
  <c r="C75" i="3" s="1"/>
  <c r="A75" i="3"/>
  <c r="J74" i="3"/>
  <c r="L74" i="3" s="1"/>
  <c r="I74" i="3"/>
  <c r="H74" i="3" a="1"/>
  <c r="H74" i="3" s="1"/>
  <c r="G74" i="3" a="1"/>
  <c r="G74" i="3" s="1"/>
  <c r="M74" i="3" s="1"/>
  <c r="E74" i="3" a="1"/>
  <c r="E74" i="3" s="1"/>
  <c r="D74" i="3"/>
  <c r="B74" i="3"/>
  <c r="C74" i="3" s="1"/>
  <c r="A74" i="3"/>
  <c r="J73" i="3"/>
  <c r="I73" i="3"/>
  <c r="H73" i="3" a="1"/>
  <c r="H73" i="3" s="1"/>
  <c r="G73" i="3" a="1"/>
  <c r="G73" i="3" s="1"/>
  <c r="M73" i="3" s="1"/>
  <c r="E73" i="3" a="1"/>
  <c r="E73" i="3" s="1"/>
  <c r="D73" i="3"/>
  <c r="B73" i="3"/>
  <c r="C73" i="3" s="1"/>
  <c r="A73" i="3"/>
  <c r="J72" i="3"/>
  <c r="I72" i="3"/>
  <c r="H72" i="3" a="1"/>
  <c r="H72" i="3" s="1"/>
  <c r="G72" i="3" a="1"/>
  <c r="G72" i="3" s="1"/>
  <c r="M72" i="3" s="1"/>
  <c r="E72" i="3" a="1"/>
  <c r="E72" i="3" s="1"/>
  <c r="D72" i="3"/>
  <c r="B72" i="3"/>
  <c r="C72" i="3" s="1"/>
  <c r="A72" i="3"/>
  <c r="J71" i="3"/>
  <c r="I71" i="3"/>
  <c r="H71" i="3" a="1"/>
  <c r="H71" i="3" s="1"/>
  <c r="G71" i="3" a="1"/>
  <c r="G71" i="3" s="1"/>
  <c r="M71" i="3" s="1"/>
  <c r="E71" i="3" a="1"/>
  <c r="E71" i="3" s="1"/>
  <c r="D71" i="3"/>
  <c r="B71" i="3"/>
  <c r="C71" i="3" s="1"/>
  <c r="A71" i="3"/>
  <c r="J70" i="3"/>
  <c r="I70" i="3"/>
  <c r="H70" i="3" a="1"/>
  <c r="H70" i="3" s="1"/>
  <c r="G70" i="3" a="1"/>
  <c r="G70" i="3" s="1"/>
  <c r="M70" i="3" s="1"/>
  <c r="E70" i="3" a="1"/>
  <c r="E70" i="3" s="1"/>
  <c r="D70" i="3"/>
  <c r="B70" i="3"/>
  <c r="C70" i="3" s="1"/>
  <c r="A70" i="3"/>
  <c r="J69" i="3"/>
  <c r="L69" i="3" s="1"/>
  <c r="I69" i="3"/>
  <c r="H69" i="3" a="1"/>
  <c r="H69" i="3" s="1"/>
  <c r="G69" i="3" a="1"/>
  <c r="G69" i="3" s="1"/>
  <c r="M69" i="3" s="1"/>
  <c r="E69" i="3" a="1"/>
  <c r="E69" i="3" s="1"/>
  <c r="D69" i="3"/>
  <c r="B69" i="3"/>
  <c r="C69" i="3" s="1"/>
  <c r="A69" i="3"/>
  <c r="J68" i="3"/>
  <c r="L68" i="3" s="1"/>
  <c r="I68" i="3"/>
  <c r="H68" i="3" a="1"/>
  <c r="H68" i="3" s="1"/>
  <c r="G68" i="3" a="1"/>
  <c r="G68" i="3" s="1"/>
  <c r="M68" i="3" s="1"/>
  <c r="E68" i="3" a="1"/>
  <c r="E68" i="3" s="1"/>
  <c r="D68" i="3"/>
  <c r="B68" i="3"/>
  <c r="C68" i="3" s="1"/>
  <c r="A68" i="3"/>
  <c r="J67" i="3"/>
  <c r="I67" i="3"/>
  <c r="H67" i="3" a="1"/>
  <c r="H67" i="3" s="1"/>
  <c r="G67" i="3" a="1"/>
  <c r="G67" i="3" s="1"/>
  <c r="M67" i="3" s="1"/>
  <c r="E67" i="3" a="1"/>
  <c r="E67" i="3" s="1"/>
  <c r="D67" i="3"/>
  <c r="B67" i="3"/>
  <c r="C67" i="3" s="1"/>
  <c r="A67" i="3"/>
  <c r="J66" i="3"/>
  <c r="L66" i="3" s="1"/>
  <c r="I66" i="3"/>
  <c r="H66" i="3" a="1"/>
  <c r="H66" i="3" s="1"/>
  <c r="G66" i="3" a="1"/>
  <c r="G66" i="3" s="1"/>
  <c r="M66" i="3" s="1"/>
  <c r="E66" i="3" a="1"/>
  <c r="E66" i="3" s="1"/>
  <c r="D66" i="3"/>
  <c r="B66" i="3"/>
  <c r="C66" i="3" s="1"/>
  <c r="A66" i="3"/>
  <c r="J65" i="3"/>
  <c r="I65" i="3"/>
  <c r="H65" i="3" a="1"/>
  <c r="H65" i="3" s="1"/>
  <c r="G65" i="3" a="1"/>
  <c r="G65" i="3" s="1"/>
  <c r="M65" i="3" s="1"/>
  <c r="E65" i="3" a="1"/>
  <c r="E65" i="3" s="1"/>
  <c r="D65" i="3"/>
  <c r="B65" i="3"/>
  <c r="C65" i="3" s="1"/>
  <c r="A65" i="3"/>
  <c r="J64" i="3"/>
  <c r="L64" i="3" s="1"/>
  <c r="I64" i="3"/>
  <c r="H64" i="3" a="1"/>
  <c r="H64" i="3" s="1"/>
  <c r="G64" i="3" a="1"/>
  <c r="G64" i="3" s="1"/>
  <c r="M64" i="3" s="1"/>
  <c r="E64" i="3" a="1"/>
  <c r="E64" i="3" s="1"/>
  <c r="D64" i="3"/>
  <c r="B64" i="3"/>
  <c r="C64" i="3" s="1"/>
  <c r="A64" i="3"/>
  <c r="J63" i="3"/>
  <c r="I63" i="3"/>
  <c r="H63" i="3" a="1"/>
  <c r="H63" i="3" s="1"/>
  <c r="G63" i="3" a="1"/>
  <c r="G63" i="3" s="1"/>
  <c r="M63" i="3" s="1"/>
  <c r="E63" i="3" a="1"/>
  <c r="E63" i="3" s="1"/>
  <c r="D63" i="3"/>
  <c r="B63" i="3"/>
  <c r="C63" i="3" s="1"/>
  <c r="A63" i="3"/>
  <c r="J62" i="3"/>
  <c r="I62" i="3"/>
  <c r="H62" i="3" a="1"/>
  <c r="H62" i="3" s="1"/>
  <c r="G62" i="3" a="1"/>
  <c r="G62" i="3" s="1"/>
  <c r="M62" i="3" s="1"/>
  <c r="E62" i="3" a="1"/>
  <c r="E62" i="3" s="1"/>
  <c r="D62" i="3"/>
  <c r="B62" i="3"/>
  <c r="C62" i="3" s="1"/>
  <c r="A62" i="3"/>
  <c r="J61" i="3"/>
  <c r="I61" i="3"/>
  <c r="H61" i="3" a="1"/>
  <c r="H61" i="3" s="1"/>
  <c r="G61" i="3" a="1"/>
  <c r="G61" i="3" s="1"/>
  <c r="M61" i="3" s="1"/>
  <c r="E61" i="3" a="1"/>
  <c r="E61" i="3" s="1"/>
  <c r="D61" i="3"/>
  <c r="B61" i="3"/>
  <c r="C61" i="3" s="1"/>
  <c r="A61" i="3"/>
  <c r="J60" i="3"/>
  <c r="L60" i="3" s="1"/>
  <c r="I60" i="3"/>
  <c r="H60" i="3" a="1"/>
  <c r="H60" i="3" s="1"/>
  <c r="G60" i="3" a="1"/>
  <c r="G60" i="3" s="1"/>
  <c r="M60" i="3" s="1"/>
  <c r="E60" i="3" a="1"/>
  <c r="E60" i="3" s="1"/>
  <c r="D60" i="3"/>
  <c r="B60" i="3"/>
  <c r="C60" i="3" s="1"/>
  <c r="A60" i="3"/>
  <c r="J59" i="3"/>
  <c r="I59" i="3"/>
  <c r="H59" i="3" a="1"/>
  <c r="H59" i="3" s="1"/>
  <c r="G59" i="3" a="1"/>
  <c r="G59" i="3" s="1"/>
  <c r="M59" i="3" s="1"/>
  <c r="E59" i="3" a="1"/>
  <c r="E59" i="3" s="1"/>
  <c r="D59" i="3"/>
  <c r="B59" i="3"/>
  <c r="C59" i="3" s="1"/>
  <c r="A59" i="3"/>
  <c r="J58" i="3"/>
  <c r="L58" i="3" s="1"/>
  <c r="I58" i="3"/>
  <c r="H58" i="3" a="1"/>
  <c r="H58" i="3" s="1"/>
  <c r="G58" i="3" a="1"/>
  <c r="G58" i="3" s="1"/>
  <c r="M58" i="3" s="1"/>
  <c r="E58" i="3" a="1"/>
  <c r="E58" i="3" s="1"/>
  <c r="D58" i="3"/>
  <c r="B58" i="3"/>
  <c r="C58" i="3" s="1"/>
  <c r="A58" i="3"/>
  <c r="J57" i="3"/>
  <c r="I57" i="3"/>
  <c r="H57" i="3" a="1"/>
  <c r="H57" i="3" s="1"/>
  <c r="G57" i="3" a="1"/>
  <c r="G57" i="3" s="1"/>
  <c r="M57" i="3" s="1"/>
  <c r="E57" i="3" a="1"/>
  <c r="E57" i="3" s="1"/>
  <c r="D57" i="3"/>
  <c r="B57" i="3"/>
  <c r="C57" i="3" s="1"/>
  <c r="A57" i="3"/>
  <c r="J56" i="3"/>
  <c r="I56" i="3"/>
  <c r="H56" i="3" a="1"/>
  <c r="H56" i="3" s="1"/>
  <c r="G56" i="3" a="1"/>
  <c r="G56" i="3" s="1"/>
  <c r="M56" i="3" s="1"/>
  <c r="E56" i="3" a="1"/>
  <c r="E56" i="3" s="1"/>
  <c r="D56" i="3"/>
  <c r="B56" i="3"/>
  <c r="C56" i="3" s="1"/>
  <c r="A56" i="3"/>
  <c r="J55" i="3"/>
  <c r="L55" i="3" s="1"/>
  <c r="I55" i="3"/>
  <c r="H55" i="3" a="1"/>
  <c r="H55" i="3" s="1"/>
  <c r="G55" i="3" a="1"/>
  <c r="G55" i="3" s="1"/>
  <c r="M55" i="3" s="1"/>
  <c r="E55" i="3" a="1"/>
  <c r="E55" i="3" s="1"/>
  <c r="D55" i="3"/>
  <c r="B55" i="3"/>
  <c r="C55" i="3" s="1"/>
  <c r="A55" i="3"/>
  <c r="J54" i="3"/>
  <c r="I54" i="3"/>
  <c r="H54" i="3" a="1"/>
  <c r="H54" i="3" s="1"/>
  <c r="G54" i="3" a="1"/>
  <c r="G54" i="3" s="1"/>
  <c r="M54" i="3" s="1"/>
  <c r="E54" i="3" a="1"/>
  <c r="E54" i="3" s="1"/>
  <c r="D54" i="3"/>
  <c r="B54" i="3"/>
  <c r="C54" i="3" s="1"/>
  <c r="A54" i="3"/>
  <c r="J53" i="3"/>
  <c r="L53" i="3" s="1"/>
  <c r="I53" i="3"/>
  <c r="H53" i="3" a="1"/>
  <c r="H53" i="3" s="1"/>
  <c r="G53" i="3" a="1"/>
  <c r="G53" i="3" s="1"/>
  <c r="M53" i="3" s="1"/>
  <c r="E53" i="3" a="1"/>
  <c r="E53" i="3" s="1"/>
  <c r="D53" i="3"/>
  <c r="B53" i="3"/>
  <c r="C53" i="3" s="1"/>
  <c r="A53" i="3"/>
  <c r="J52" i="3"/>
  <c r="I52" i="3"/>
  <c r="H52" i="3" a="1"/>
  <c r="H52" i="3" s="1"/>
  <c r="G52" i="3" a="1"/>
  <c r="G52" i="3" s="1"/>
  <c r="M52" i="3" s="1"/>
  <c r="E52" i="3" a="1"/>
  <c r="E52" i="3" s="1"/>
  <c r="D52" i="3"/>
  <c r="B52" i="3"/>
  <c r="C52" i="3" s="1"/>
  <c r="A52" i="3"/>
  <c r="J51" i="3"/>
  <c r="L51" i="3" s="1"/>
  <c r="I51" i="3"/>
  <c r="H51" i="3" a="1"/>
  <c r="H51" i="3" s="1"/>
  <c r="G51" i="3" a="1"/>
  <c r="G51" i="3" s="1"/>
  <c r="M51" i="3" s="1"/>
  <c r="E51" i="3" a="1"/>
  <c r="E51" i="3" s="1"/>
  <c r="D51" i="3"/>
  <c r="B51" i="3"/>
  <c r="C51" i="3" s="1"/>
  <c r="A51" i="3"/>
  <c r="J50" i="3"/>
  <c r="I50" i="3"/>
  <c r="H50" i="3" a="1"/>
  <c r="H50" i="3" s="1"/>
  <c r="G50" i="3" a="1"/>
  <c r="G50" i="3" s="1"/>
  <c r="M50" i="3" s="1"/>
  <c r="E50" i="3" a="1"/>
  <c r="E50" i="3" s="1"/>
  <c r="D50" i="3"/>
  <c r="B50" i="3"/>
  <c r="C50" i="3" s="1"/>
  <c r="A50" i="3"/>
  <c r="J49" i="3"/>
  <c r="I49" i="3"/>
  <c r="H49" i="3" a="1"/>
  <c r="H49" i="3" s="1"/>
  <c r="G49" i="3" a="1"/>
  <c r="G49" i="3" s="1"/>
  <c r="M49" i="3" s="1"/>
  <c r="E49" i="3" a="1"/>
  <c r="E49" i="3" s="1"/>
  <c r="D49" i="3"/>
  <c r="B49" i="3"/>
  <c r="C49" i="3" s="1"/>
  <c r="A49" i="3"/>
  <c r="J48" i="3"/>
  <c r="I48" i="3"/>
  <c r="H48" i="3" a="1"/>
  <c r="H48" i="3" s="1"/>
  <c r="G48" i="3" a="1"/>
  <c r="G48" i="3" s="1"/>
  <c r="M48" i="3" s="1"/>
  <c r="E48" i="3" a="1"/>
  <c r="E48" i="3" s="1"/>
  <c r="D48" i="3"/>
  <c r="B48" i="3"/>
  <c r="C48" i="3" s="1"/>
  <c r="A48" i="3"/>
  <c r="J47" i="3"/>
  <c r="L47" i="3" s="1"/>
  <c r="I47" i="3"/>
  <c r="H47" i="3" a="1"/>
  <c r="H47" i="3" s="1"/>
  <c r="G47" i="3" a="1"/>
  <c r="G47" i="3" s="1"/>
  <c r="M47" i="3" s="1"/>
  <c r="E47" i="3" a="1"/>
  <c r="E47" i="3" s="1"/>
  <c r="D47" i="3"/>
  <c r="B47" i="3"/>
  <c r="C47" i="3" s="1"/>
  <c r="A47" i="3"/>
  <c r="J46" i="3"/>
  <c r="L46" i="3" s="1"/>
  <c r="I46" i="3"/>
  <c r="H46" i="3" a="1"/>
  <c r="H46" i="3" s="1"/>
  <c r="G46" i="3" a="1"/>
  <c r="G46" i="3" s="1"/>
  <c r="M46" i="3" s="1"/>
  <c r="E46" i="3" a="1"/>
  <c r="E46" i="3" s="1"/>
  <c r="D46" i="3"/>
  <c r="B46" i="3"/>
  <c r="C46" i="3" s="1"/>
  <c r="A46" i="3"/>
  <c r="J45" i="3"/>
  <c r="L45" i="3" s="1"/>
  <c r="I45" i="3"/>
  <c r="H45" i="3" a="1"/>
  <c r="H45" i="3" s="1"/>
  <c r="G45" i="3" a="1"/>
  <c r="G45" i="3" s="1"/>
  <c r="M45" i="3" s="1"/>
  <c r="E45" i="3" a="1"/>
  <c r="E45" i="3" s="1"/>
  <c r="D45" i="3"/>
  <c r="B45" i="3"/>
  <c r="C45" i="3" s="1"/>
  <c r="A45" i="3"/>
  <c r="J44" i="3"/>
  <c r="I44" i="3"/>
  <c r="H44" i="3" a="1"/>
  <c r="H44" i="3" s="1"/>
  <c r="G44" i="3" a="1"/>
  <c r="G44" i="3" s="1"/>
  <c r="M44" i="3" s="1"/>
  <c r="E44" i="3" a="1"/>
  <c r="E44" i="3" s="1"/>
  <c r="D44" i="3"/>
  <c r="B44" i="3"/>
  <c r="C44" i="3" s="1"/>
  <c r="A44" i="3"/>
  <c r="J43" i="3"/>
  <c r="I43" i="3"/>
  <c r="H43" i="3" a="1"/>
  <c r="H43" i="3" s="1"/>
  <c r="G43" i="3" a="1"/>
  <c r="G43" i="3" s="1"/>
  <c r="M43" i="3" s="1"/>
  <c r="E43" i="3" a="1"/>
  <c r="E43" i="3" s="1"/>
  <c r="D43" i="3"/>
  <c r="B43" i="3"/>
  <c r="C43" i="3" s="1"/>
  <c r="A43" i="3"/>
  <c r="J42" i="3"/>
  <c r="I42" i="3"/>
  <c r="H42" i="3" a="1"/>
  <c r="H42" i="3" s="1"/>
  <c r="G42" i="3" a="1"/>
  <c r="G42" i="3" s="1"/>
  <c r="M42" i="3" s="1"/>
  <c r="E42" i="3" a="1"/>
  <c r="E42" i="3" s="1"/>
  <c r="D42" i="3"/>
  <c r="B42" i="3"/>
  <c r="C42" i="3" s="1"/>
  <c r="A42" i="3"/>
  <c r="J41" i="3"/>
  <c r="L41" i="3" s="1"/>
  <c r="I41" i="3"/>
  <c r="H41" i="3" a="1"/>
  <c r="H41" i="3" s="1"/>
  <c r="G41" i="3" a="1"/>
  <c r="G41" i="3" s="1"/>
  <c r="M41" i="3" s="1"/>
  <c r="E41" i="3" a="1"/>
  <c r="E41" i="3" s="1"/>
  <c r="D41" i="3"/>
  <c r="B41" i="3"/>
  <c r="C41" i="3" s="1"/>
  <c r="A41" i="3"/>
  <c r="J40" i="3"/>
  <c r="I40" i="3"/>
  <c r="H40" i="3" a="1"/>
  <c r="H40" i="3" s="1"/>
  <c r="G40" i="3" a="1"/>
  <c r="G40" i="3" s="1"/>
  <c r="M40" i="3" s="1"/>
  <c r="E40" i="3" a="1"/>
  <c r="E40" i="3" s="1"/>
  <c r="D40" i="3"/>
  <c r="B40" i="3"/>
  <c r="C40" i="3" s="1"/>
  <c r="A40" i="3"/>
  <c r="J39" i="3"/>
  <c r="L39" i="3" s="1"/>
  <c r="I39" i="3"/>
  <c r="H39" i="3" a="1"/>
  <c r="H39" i="3" s="1"/>
  <c r="G39" i="3" a="1"/>
  <c r="G39" i="3" s="1"/>
  <c r="M39" i="3" s="1"/>
  <c r="E39" i="3" a="1"/>
  <c r="E39" i="3" s="1"/>
  <c r="D39" i="3"/>
  <c r="B39" i="3"/>
  <c r="C39" i="3" s="1"/>
  <c r="A39" i="3"/>
  <c r="J38" i="3"/>
  <c r="I38" i="3"/>
  <c r="H38" i="3" a="1"/>
  <c r="H38" i="3" s="1"/>
  <c r="G38" i="3" a="1"/>
  <c r="G38" i="3" s="1"/>
  <c r="M38" i="3" s="1"/>
  <c r="E38" i="3" a="1"/>
  <c r="E38" i="3" s="1"/>
  <c r="D38" i="3"/>
  <c r="B38" i="3"/>
  <c r="C38" i="3" s="1"/>
  <c r="A38" i="3"/>
  <c r="J37" i="3"/>
  <c r="I37" i="3"/>
  <c r="H37" i="3" a="1"/>
  <c r="H37" i="3" s="1"/>
  <c r="G37" i="3" a="1"/>
  <c r="G37" i="3" s="1"/>
  <c r="M37" i="3" s="1"/>
  <c r="E37" i="3" a="1"/>
  <c r="E37" i="3" s="1"/>
  <c r="D37" i="3"/>
  <c r="B37" i="3"/>
  <c r="C37" i="3" s="1"/>
  <c r="A37" i="3"/>
  <c r="J36" i="3"/>
  <c r="I36" i="3"/>
  <c r="H36" i="3" a="1"/>
  <c r="H36" i="3" s="1"/>
  <c r="G36" i="3" a="1"/>
  <c r="G36" i="3" s="1"/>
  <c r="M36" i="3" s="1"/>
  <c r="E36" i="3" a="1"/>
  <c r="E36" i="3" s="1"/>
  <c r="D36" i="3"/>
  <c r="B36" i="3"/>
  <c r="C36" i="3" s="1"/>
  <c r="A36" i="3"/>
  <c r="J35" i="3"/>
  <c r="L35" i="3" s="1"/>
  <c r="I35" i="3"/>
  <c r="H35" i="3" a="1"/>
  <c r="H35" i="3" s="1"/>
  <c r="G35" i="3" a="1"/>
  <c r="G35" i="3" s="1"/>
  <c r="M35" i="3" s="1"/>
  <c r="E35" i="3" a="1"/>
  <c r="E35" i="3" s="1"/>
  <c r="D35" i="3"/>
  <c r="B35" i="3"/>
  <c r="C35" i="3" s="1"/>
  <c r="A35" i="3"/>
  <c r="J34" i="3"/>
  <c r="I34" i="3"/>
  <c r="H34" i="3" a="1"/>
  <c r="H34" i="3" s="1"/>
  <c r="G34" i="3" a="1"/>
  <c r="G34" i="3" s="1"/>
  <c r="M34" i="3" s="1"/>
  <c r="E34" i="3" a="1"/>
  <c r="E34" i="3" s="1"/>
  <c r="D34" i="3"/>
  <c r="B34" i="3"/>
  <c r="C34" i="3" s="1"/>
  <c r="A34" i="3"/>
  <c r="J33" i="3"/>
  <c r="L33" i="3" s="1"/>
  <c r="I33" i="3"/>
  <c r="H33" i="3" a="1"/>
  <c r="H33" i="3" s="1"/>
  <c r="G33" i="3" a="1"/>
  <c r="G33" i="3" s="1"/>
  <c r="M33" i="3" s="1"/>
  <c r="E33" i="3" a="1"/>
  <c r="E33" i="3" s="1"/>
  <c r="D33" i="3"/>
  <c r="B33" i="3"/>
  <c r="C33" i="3" s="1"/>
  <c r="A33" i="3"/>
  <c r="J32" i="3"/>
  <c r="L32" i="3" s="1"/>
  <c r="I32" i="3"/>
  <c r="H32" i="3" a="1"/>
  <c r="H32" i="3" s="1"/>
  <c r="G32" i="3" a="1"/>
  <c r="G32" i="3" s="1"/>
  <c r="M32" i="3" s="1"/>
  <c r="E32" i="3" a="1"/>
  <c r="E32" i="3" s="1"/>
  <c r="D32" i="3"/>
  <c r="B32" i="3"/>
  <c r="C32" i="3" s="1"/>
  <c r="A32" i="3"/>
  <c r="J31" i="3"/>
  <c r="L31" i="3" s="1"/>
  <c r="I31" i="3"/>
  <c r="H31" i="3" a="1"/>
  <c r="H31" i="3" s="1"/>
  <c r="G31" i="3" a="1"/>
  <c r="G31" i="3" s="1"/>
  <c r="M31" i="3" s="1"/>
  <c r="E31" i="3" a="1"/>
  <c r="E31" i="3" s="1"/>
  <c r="D31" i="3"/>
  <c r="B31" i="3"/>
  <c r="C31" i="3" s="1"/>
  <c r="A31" i="3"/>
  <c r="J30" i="3"/>
  <c r="I30" i="3"/>
  <c r="H30" i="3" a="1"/>
  <c r="H30" i="3" s="1"/>
  <c r="G30" i="3" a="1"/>
  <c r="G30" i="3" s="1"/>
  <c r="M30" i="3" s="1"/>
  <c r="E30" i="3" a="1"/>
  <c r="E30" i="3" s="1"/>
  <c r="D30" i="3"/>
  <c r="B30" i="3"/>
  <c r="C30" i="3" s="1"/>
  <c r="A30" i="3"/>
  <c r="J29" i="3"/>
  <c r="L29" i="3" s="1"/>
  <c r="I29" i="3"/>
  <c r="H29" i="3" a="1"/>
  <c r="H29" i="3" s="1"/>
  <c r="G29" i="3" a="1"/>
  <c r="G29" i="3" s="1"/>
  <c r="M29" i="3" s="1"/>
  <c r="E29" i="3" a="1"/>
  <c r="E29" i="3" s="1"/>
  <c r="D29" i="3"/>
  <c r="B29" i="3"/>
  <c r="C29" i="3" s="1"/>
  <c r="A29" i="3"/>
  <c r="J28" i="3"/>
  <c r="L28" i="3" s="1"/>
  <c r="I28" i="3"/>
  <c r="H28" i="3" a="1"/>
  <c r="H28" i="3" s="1"/>
  <c r="G28" i="3" a="1"/>
  <c r="G28" i="3" s="1"/>
  <c r="M28" i="3" s="1"/>
  <c r="E28" i="3" a="1"/>
  <c r="E28" i="3" s="1"/>
  <c r="D28" i="3"/>
  <c r="B28" i="3"/>
  <c r="C28" i="3" s="1"/>
  <c r="A28" i="3"/>
  <c r="J27" i="3"/>
  <c r="L27" i="3" s="1"/>
  <c r="I27" i="3"/>
  <c r="H27" i="3" a="1"/>
  <c r="H27" i="3" s="1"/>
  <c r="G27" i="3" a="1"/>
  <c r="G27" i="3" s="1"/>
  <c r="M27" i="3" s="1"/>
  <c r="E27" i="3" a="1"/>
  <c r="E27" i="3" s="1"/>
  <c r="D27" i="3"/>
  <c r="B27" i="3"/>
  <c r="C27" i="3" s="1"/>
  <c r="A27" i="3"/>
  <c r="J26" i="3"/>
  <c r="I26" i="3"/>
  <c r="H26" i="3" a="1"/>
  <c r="H26" i="3" s="1"/>
  <c r="G26" i="3" a="1"/>
  <c r="G26" i="3" s="1"/>
  <c r="M26" i="3" s="1"/>
  <c r="E26" i="3" a="1"/>
  <c r="E26" i="3" s="1"/>
  <c r="D26" i="3"/>
  <c r="B26" i="3"/>
  <c r="C26" i="3" s="1"/>
  <c r="A26" i="3"/>
  <c r="J25" i="3"/>
  <c r="I25" i="3"/>
  <c r="H25" i="3" a="1"/>
  <c r="H25" i="3" s="1"/>
  <c r="G25" i="3" a="1"/>
  <c r="G25" i="3" s="1"/>
  <c r="M25" i="3" s="1"/>
  <c r="E25" i="3" a="1"/>
  <c r="E25" i="3" s="1"/>
  <c r="D25" i="3"/>
  <c r="B25" i="3"/>
  <c r="C25" i="3" s="1"/>
  <c r="A25" i="3"/>
  <c r="J24" i="3"/>
  <c r="L24" i="3" s="1"/>
  <c r="I24" i="3"/>
  <c r="H24" i="3" a="1"/>
  <c r="H24" i="3" s="1"/>
  <c r="G24" i="3" a="1"/>
  <c r="G24" i="3" s="1"/>
  <c r="M24" i="3" s="1"/>
  <c r="E24" i="3" a="1"/>
  <c r="E24" i="3" s="1"/>
  <c r="D24" i="3"/>
  <c r="B24" i="3"/>
  <c r="C24" i="3" s="1"/>
  <c r="A24" i="3"/>
  <c r="J23" i="3"/>
  <c r="L23" i="3" s="1"/>
  <c r="I23" i="3"/>
  <c r="H23" i="3" a="1"/>
  <c r="H23" i="3" s="1"/>
  <c r="G23" i="3" a="1"/>
  <c r="G23" i="3" s="1"/>
  <c r="M23" i="3" s="1"/>
  <c r="E23" i="3" a="1"/>
  <c r="E23" i="3" s="1"/>
  <c r="D23" i="3"/>
  <c r="B23" i="3"/>
  <c r="C23" i="3" s="1"/>
  <c r="A23" i="3"/>
  <c r="J22" i="3"/>
  <c r="I22" i="3"/>
  <c r="H22" i="3" a="1"/>
  <c r="H22" i="3" s="1"/>
  <c r="G22" i="3" a="1"/>
  <c r="G22" i="3" s="1"/>
  <c r="M22" i="3" s="1"/>
  <c r="E22" i="3" a="1"/>
  <c r="E22" i="3" s="1"/>
  <c r="D22" i="3"/>
  <c r="B22" i="3"/>
  <c r="C22" i="3" s="1"/>
  <c r="A22" i="3"/>
  <c r="J21" i="3"/>
  <c r="I21" i="3"/>
  <c r="H21" i="3" a="1"/>
  <c r="H21" i="3" s="1"/>
  <c r="G21" i="3" a="1"/>
  <c r="G21" i="3" s="1"/>
  <c r="M21" i="3" s="1"/>
  <c r="E21" i="3" a="1"/>
  <c r="E21" i="3" s="1"/>
  <c r="D21" i="3"/>
  <c r="B21" i="3"/>
  <c r="C21" i="3" s="1"/>
  <c r="A21" i="3"/>
  <c r="J20" i="3"/>
  <c r="L20" i="3" s="1"/>
  <c r="I20" i="3"/>
  <c r="H20" i="3" a="1"/>
  <c r="H20" i="3" s="1"/>
  <c r="G20" i="3" a="1"/>
  <c r="G20" i="3" s="1"/>
  <c r="M20" i="3" s="1"/>
  <c r="E20" i="3" a="1"/>
  <c r="E20" i="3" s="1"/>
  <c r="D20" i="3"/>
  <c r="B20" i="3"/>
  <c r="C20" i="3" s="1"/>
  <c r="A20" i="3"/>
  <c r="J19" i="3"/>
  <c r="I19" i="3"/>
  <c r="H19" i="3" a="1"/>
  <c r="H19" i="3" s="1"/>
  <c r="G19" i="3" a="1"/>
  <c r="G19" i="3" s="1"/>
  <c r="M19" i="3" s="1"/>
  <c r="E19" i="3" a="1"/>
  <c r="E19" i="3" s="1"/>
  <c r="D19" i="3"/>
  <c r="B19" i="3"/>
  <c r="C19" i="3" s="1"/>
  <c r="A19" i="3"/>
  <c r="J18" i="3"/>
  <c r="L18" i="3" s="1"/>
  <c r="I18" i="3"/>
  <c r="H18" i="3" a="1"/>
  <c r="H18" i="3" s="1"/>
  <c r="G18" i="3" a="1"/>
  <c r="G18" i="3" s="1"/>
  <c r="M18" i="3" s="1"/>
  <c r="E18" i="3" a="1"/>
  <c r="E18" i="3" s="1"/>
  <c r="D18" i="3"/>
  <c r="B18" i="3"/>
  <c r="C18" i="3" s="1"/>
  <c r="A18" i="3"/>
  <c r="J17" i="3"/>
  <c r="L17" i="3" s="1"/>
  <c r="I17" i="3"/>
  <c r="H17" i="3" a="1"/>
  <c r="H17" i="3" s="1"/>
  <c r="G17" i="3" a="1"/>
  <c r="G17" i="3" s="1"/>
  <c r="M17" i="3" s="1"/>
  <c r="E17" i="3" a="1"/>
  <c r="E17" i="3" s="1"/>
  <c r="D17" i="3"/>
  <c r="B17" i="3"/>
  <c r="C17" i="3" s="1"/>
  <c r="A17" i="3"/>
  <c r="J16" i="3"/>
  <c r="I16" i="3"/>
  <c r="H16" i="3" a="1"/>
  <c r="H16" i="3" s="1"/>
  <c r="G16" i="3" a="1"/>
  <c r="G16" i="3" s="1"/>
  <c r="M16" i="3" s="1"/>
  <c r="E16" i="3" a="1"/>
  <c r="E16" i="3" s="1"/>
  <c r="D16" i="3"/>
  <c r="B16" i="3"/>
  <c r="C16" i="3" s="1"/>
  <c r="A16" i="3"/>
  <c r="J15" i="3"/>
  <c r="L15" i="3" s="1"/>
  <c r="I15" i="3"/>
  <c r="H15" i="3" a="1"/>
  <c r="H15" i="3" s="1"/>
  <c r="G15" i="3" a="1"/>
  <c r="G15" i="3" s="1"/>
  <c r="M15" i="3" s="1"/>
  <c r="E15" i="3" a="1"/>
  <c r="E15" i="3" s="1"/>
  <c r="D15" i="3"/>
  <c r="B15" i="3"/>
  <c r="C15" i="3" s="1"/>
  <c r="A15" i="3"/>
  <c r="J14" i="3"/>
  <c r="I14" i="3"/>
  <c r="H14" i="3" a="1"/>
  <c r="H14" i="3" s="1"/>
  <c r="G14" i="3" a="1"/>
  <c r="G14" i="3" s="1"/>
  <c r="M14" i="3" s="1"/>
  <c r="E14" i="3" a="1"/>
  <c r="E14" i="3" s="1"/>
  <c r="D14" i="3"/>
  <c r="B14" i="3"/>
  <c r="C14" i="3" s="1"/>
  <c r="A14" i="3"/>
  <c r="J13" i="3"/>
  <c r="I13" i="3"/>
  <c r="H13" i="3" a="1"/>
  <c r="H13" i="3" s="1"/>
  <c r="G13" i="3" a="1"/>
  <c r="G13" i="3" s="1"/>
  <c r="M13" i="3" s="1"/>
  <c r="E13" i="3" a="1"/>
  <c r="E13" i="3" s="1"/>
  <c r="D13" i="3"/>
  <c r="B13" i="3"/>
  <c r="C13" i="3" s="1"/>
  <c r="A13" i="3"/>
  <c r="J12" i="3"/>
  <c r="I12" i="3"/>
  <c r="H12" i="3" a="1"/>
  <c r="H12" i="3" s="1"/>
  <c r="G12" i="3" a="1"/>
  <c r="G12" i="3" s="1"/>
  <c r="M12" i="3" s="1"/>
  <c r="E12" i="3" a="1"/>
  <c r="E12" i="3" s="1"/>
  <c r="D12" i="3"/>
  <c r="B12" i="3"/>
  <c r="C12" i="3" s="1"/>
  <c r="A12" i="3"/>
  <c r="J11" i="3"/>
  <c r="L11" i="3" s="1"/>
  <c r="I11" i="3"/>
  <c r="H11" i="3" a="1"/>
  <c r="H11" i="3" s="1"/>
  <c r="G11" i="3" a="1"/>
  <c r="G11" i="3" s="1"/>
  <c r="M11" i="3" s="1"/>
  <c r="E11" i="3" a="1"/>
  <c r="E11" i="3" s="1"/>
  <c r="D11" i="3"/>
  <c r="B11" i="3"/>
  <c r="C11" i="3" s="1"/>
  <c r="A11" i="3"/>
  <c r="J10" i="3"/>
  <c r="L10" i="3" s="1"/>
  <c r="I10" i="3"/>
  <c r="H10" i="3" a="1"/>
  <c r="H10" i="3" s="1"/>
  <c r="G10" i="3" a="1"/>
  <c r="G10" i="3" s="1"/>
  <c r="M10" i="3" s="1"/>
  <c r="E10" i="3" a="1"/>
  <c r="E10" i="3" s="1"/>
  <c r="D10" i="3"/>
  <c r="B10" i="3"/>
  <c r="C10" i="3" s="1"/>
  <c r="A10" i="3"/>
  <c r="J9" i="3"/>
  <c r="L9" i="3" s="1"/>
  <c r="I9" i="3"/>
  <c r="H9" i="3" a="1"/>
  <c r="H9" i="3" s="1"/>
  <c r="G9" i="3" a="1"/>
  <c r="G9" i="3" s="1"/>
  <c r="M9" i="3" s="1"/>
  <c r="E9" i="3" a="1"/>
  <c r="E9" i="3" s="1"/>
  <c r="D9" i="3"/>
  <c r="B9" i="3"/>
  <c r="C9" i="3" s="1"/>
  <c r="A9" i="3"/>
  <c r="J8" i="3"/>
  <c r="I8" i="3"/>
  <c r="H8" i="3" a="1"/>
  <c r="H8" i="3" s="1"/>
  <c r="G8" i="3" a="1"/>
  <c r="G8" i="3" s="1"/>
  <c r="M8" i="3" s="1"/>
  <c r="E8" i="3" a="1"/>
  <c r="E8" i="3" s="1"/>
  <c r="D8" i="3"/>
  <c r="B8" i="3"/>
  <c r="C8" i="3" s="1"/>
  <c r="A8" i="3"/>
  <c r="J7" i="3"/>
  <c r="I7" i="3"/>
  <c r="H7" i="3" a="1"/>
  <c r="H7" i="3" s="1"/>
  <c r="G7" i="3" a="1"/>
  <c r="G7" i="3" s="1"/>
  <c r="M7" i="3" s="1"/>
  <c r="E7" i="3" a="1"/>
  <c r="E7" i="3" s="1"/>
  <c r="D7" i="3"/>
  <c r="B7" i="3"/>
  <c r="C7" i="3" s="1"/>
  <c r="A7" i="3"/>
  <c r="J6" i="3"/>
  <c r="L6" i="3" s="1"/>
  <c r="I6" i="3"/>
  <c r="H6" i="3" a="1"/>
  <c r="H6" i="3" s="1"/>
  <c r="G6" i="3" a="1"/>
  <c r="G6" i="3" s="1"/>
  <c r="M6" i="3" s="1"/>
  <c r="E6" i="3" a="1"/>
  <c r="E6" i="3" s="1"/>
  <c r="D6" i="3"/>
  <c r="B6" i="3"/>
  <c r="C6" i="3" s="1"/>
  <c r="A6" i="3"/>
  <c r="J5" i="3"/>
  <c r="L5" i="3" s="1"/>
  <c r="I5" i="3"/>
  <c r="H5" i="3" a="1"/>
  <c r="H5" i="3" s="1"/>
  <c r="G5" i="3" a="1"/>
  <c r="G5" i="3" s="1"/>
  <c r="M5" i="3" s="1"/>
  <c r="E5" i="3" a="1"/>
  <c r="E5" i="3" s="1"/>
  <c r="D5" i="3"/>
  <c r="B5" i="3"/>
  <c r="C5" i="3" s="1"/>
  <c r="A5" i="3"/>
  <c r="J4" i="3"/>
  <c r="I4" i="3"/>
  <c r="H4" i="3" a="1"/>
  <c r="H4" i="3" s="1"/>
  <c r="G4" i="3" a="1"/>
  <c r="G4" i="3" s="1"/>
  <c r="M4" i="3" s="1"/>
  <c r="E4" i="3" a="1"/>
  <c r="E4" i="3" s="1"/>
  <c r="D4" i="3"/>
  <c r="B4" i="3"/>
  <c r="C4" i="3" s="1"/>
  <c r="A4" i="3"/>
  <c r="J3" i="3"/>
  <c r="I3" i="3"/>
  <c r="H3" i="3" a="1"/>
  <c r="H3" i="3" s="1"/>
  <c r="G3" i="3" a="1"/>
  <c r="G3" i="3" s="1"/>
  <c r="M3" i="3" s="1"/>
  <c r="E3" i="3" a="1"/>
  <c r="E3" i="3" s="1"/>
  <c r="D3" i="3"/>
  <c r="B3" i="3"/>
  <c r="C3" i="3" s="1"/>
  <c r="A3" i="3"/>
  <c r="J2" i="3"/>
  <c r="L2" i="3" s="1"/>
  <c r="I2" i="3"/>
  <c r="H2" i="3" a="1"/>
  <c r="H2" i="3" s="1"/>
  <c r="G2" i="3" a="1"/>
  <c r="G2" i="3" s="1"/>
  <c r="M2" i="3" s="1"/>
  <c r="E2" i="3" a="1"/>
  <c r="E2" i="3" s="1"/>
  <c r="D2" i="3"/>
  <c r="B2" i="3"/>
  <c r="C2" i="3" s="1"/>
  <c r="A2" i="3"/>
  <c r="K371" i="3" l="1"/>
  <c r="K482" i="3"/>
  <c r="K62" i="3"/>
  <c r="K449" i="3"/>
  <c r="K308" i="3"/>
  <c r="K362" i="3"/>
  <c r="K380" i="3"/>
  <c r="K76" i="3"/>
  <c r="K160" i="3"/>
  <c r="K154" i="3"/>
  <c r="K121" i="3"/>
  <c r="K106" i="3"/>
  <c r="K181" i="3"/>
  <c r="K3" i="3"/>
  <c r="K54" i="3"/>
  <c r="K105" i="3"/>
  <c r="K126" i="3"/>
  <c r="K333" i="3"/>
  <c r="K136" i="3"/>
  <c r="K63" i="3"/>
  <c r="K93" i="3"/>
  <c r="K231" i="3"/>
  <c r="K342" i="3"/>
  <c r="K343" i="3"/>
  <c r="K284" i="3"/>
  <c r="K153" i="3"/>
  <c r="K462" i="3"/>
  <c r="K92" i="3"/>
  <c r="K245" i="3"/>
  <c r="K334" i="3"/>
  <c r="K271" i="3"/>
  <c r="K182" i="3"/>
  <c r="K249" i="3"/>
  <c r="K310" i="3"/>
  <c r="K428" i="3"/>
  <c r="K446" i="3"/>
  <c r="K494" i="3"/>
  <c r="K497" i="3"/>
  <c r="K500" i="3"/>
  <c r="L428" i="3"/>
  <c r="K224" i="3"/>
  <c r="K14" i="3"/>
  <c r="K349" i="3"/>
  <c r="K370" i="3"/>
  <c r="L370" i="3"/>
  <c r="K38" i="3"/>
  <c r="K451" i="3"/>
  <c r="K356" i="3"/>
  <c r="K239" i="3"/>
  <c r="K122" i="3"/>
  <c r="K217" i="3"/>
  <c r="K322" i="3"/>
  <c r="K377" i="3"/>
  <c r="K386" i="3"/>
  <c r="K338" i="3"/>
  <c r="K291" i="3"/>
  <c r="K337" i="3"/>
  <c r="K242" i="3"/>
  <c r="L126" i="3"/>
  <c r="K18" i="3"/>
  <c r="K85" i="3"/>
  <c r="K368" i="3"/>
  <c r="K406" i="3"/>
  <c r="K496" i="3"/>
  <c r="L377" i="3"/>
  <c r="L14" i="3"/>
  <c r="L380" i="3"/>
  <c r="K209" i="3"/>
  <c r="K268" i="3"/>
  <c r="L268" i="3"/>
  <c r="K295" i="3"/>
  <c r="K300" i="3"/>
  <c r="K323" i="3"/>
  <c r="K361" i="3"/>
  <c r="K414" i="3"/>
  <c r="K163" i="3"/>
  <c r="K262" i="3"/>
  <c r="K67" i="3"/>
  <c r="K70" i="3"/>
  <c r="K108" i="3"/>
  <c r="K148" i="3"/>
  <c r="L295" i="3"/>
  <c r="K318" i="3"/>
  <c r="K321" i="3"/>
  <c r="K378" i="3"/>
  <c r="L414" i="3"/>
  <c r="K478" i="3"/>
  <c r="L63" i="3"/>
  <c r="L333" i="3"/>
  <c r="K223" i="3"/>
  <c r="K16" i="3"/>
  <c r="K346" i="3"/>
  <c r="L16" i="3"/>
  <c r="K448" i="3"/>
  <c r="K490" i="3"/>
  <c r="K287" i="3"/>
  <c r="K363" i="3"/>
  <c r="K6" i="3"/>
  <c r="K39" i="3"/>
  <c r="K307" i="3"/>
  <c r="K61" i="3"/>
  <c r="K68" i="3"/>
  <c r="K98" i="3"/>
  <c r="K100" i="3"/>
  <c r="K280" i="3"/>
  <c r="K299" i="3"/>
  <c r="K456" i="3"/>
  <c r="K498" i="3"/>
  <c r="K416" i="3"/>
  <c r="L416" i="3"/>
  <c r="L62" i="3"/>
  <c r="L93" i="3"/>
  <c r="K50" i="3"/>
  <c r="L154" i="3"/>
  <c r="L249" i="3"/>
  <c r="L454" i="3"/>
  <c r="K454" i="3"/>
  <c r="K24" i="3"/>
  <c r="L50" i="3"/>
  <c r="L181" i="3"/>
  <c r="K248" i="3"/>
  <c r="K385" i="3"/>
  <c r="L496" i="3"/>
  <c r="K278" i="3"/>
  <c r="L278" i="3"/>
  <c r="L297" i="3"/>
  <c r="K297" i="3"/>
  <c r="K373" i="3"/>
  <c r="L376" i="3"/>
  <c r="K376" i="3"/>
  <c r="K36" i="3"/>
  <c r="L36" i="3"/>
  <c r="L117" i="3"/>
  <c r="K117" i="3"/>
  <c r="L153" i="3"/>
  <c r="K195" i="3"/>
  <c r="K379" i="3"/>
  <c r="K488" i="3"/>
  <c r="K164" i="3"/>
  <c r="K152" i="3"/>
  <c r="L152" i="3"/>
  <c r="K279" i="3"/>
  <c r="L362" i="3"/>
  <c r="K389" i="3"/>
  <c r="L3" i="3"/>
  <c r="K66" i="3"/>
  <c r="K162" i="3"/>
  <c r="L497" i="3"/>
  <c r="K80" i="3"/>
  <c r="K101" i="3"/>
  <c r="L101" i="3"/>
  <c r="L174" i="3"/>
  <c r="K174" i="3"/>
  <c r="K332" i="3"/>
  <c r="L332" i="3"/>
  <c r="L182" i="3"/>
  <c r="K455" i="3"/>
  <c r="K89" i="3"/>
  <c r="L136" i="3"/>
  <c r="K167" i="3"/>
  <c r="K159" i="3"/>
  <c r="K165" i="3"/>
  <c r="L179" i="3"/>
  <c r="K179" i="3"/>
  <c r="L223" i="3"/>
  <c r="K114" i="3"/>
  <c r="K177" i="3"/>
  <c r="K251" i="3"/>
  <c r="L378" i="3"/>
  <c r="K426" i="3"/>
  <c r="K472" i="3"/>
  <c r="K32" i="3"/>
  <c r="K46" i="3"/>
  <c r="K109" i="3"/>
  <c r="K131" i="3"/>
  <c r="K185" i="3"/>
  <c r="K316" i="3"/>
  <c r="K351" i="3"/>
  <c r="K403" i="3"/>
  <c r="K411" i="3"/>
  <c r="K418" i="3"/>
  <c r="K442" i="3"/>
  <c r="K499" i="3"/>
  <c r="K78" i="3"/>
  <c r="K176" i="3"/>
  <c r="K330" i="3"/>
  <c r="K364" i="3"/>
  <c r="K13" i="3"/>
  <c r="K99" i="3"/>
  <c r="K120" i="3"/>
  <c r="K390" i="3"/>
  <c r="K415" i="3"/>
  <c r="K427" i="3"/>
  <c r="K21" i="3"/>
  <c r="K56" i="3"/>
  <c r="K82" i="3"/>
  <c r="K86" i="3"/>
  <c r="K150" i="3"/>
  <c r="K212" i="3"/>
  <c r="K354" i="3"/>
  <c r="K375" i="3"/>
  <c r="L415" i="3"/>
  <c r="K422" i="3"/>
  <c r="K431" i="3"/>
  <c r="K19" i="3"/>
  <c r="L19" i="3"/>
  <c r="L121" i="3"/>
  <c r="L34" i="3"/>
  <c r="K34" i="3"/>
  <c r="K91" i="3"/>
  <c r="L91" i="3"/>
  <c r="L105" i="3"/>
  <c r="K142" i="3"/>
  <c r="K146" i="3"/>
  <c r="L146" i="3"/>
  <c r="L296" i="3"/>
  <c r="K296" i="3"/>
  <c r="L383" i="3"/>
  <c r="K383" i="3"/>
  <c r="L500" i="3"/>
  <c r="K350" i="3"/>
  <c r="L350" i="3"/>
  <c r="L421" i="3"/>
  <c r="K421" i="3"/>
  <c r="L112" i="3"/>
  <c r="K112" i="3"/>
  <c r="L163" i="3"/>
  <c r="K178" i="3"/>
  <c r="L178" i="3"/>
  <c r="K388" i="3"/>
  <c r="L13" i="3"/>
  <c r="L257" i="3"/>
  <c r="K257" i="3"/>
  <c r="L304" i="3"/>
  <c r="K304" i="3"/>
  <c r="L171" i="3"/>
  <c r="K171" i="3"/>
  <c r="K219" i="3"/>
  <c r="L219" i="3"/>
  <c r="L38" i="3"/>
  <c r="L21" i="3"/>
  <c r="L54" i="3"/>
  <c r="K77" i="3"/>
  <c r="L119" i="3"/>
  <c r="K119" i="3"/>
  <c r="K133" i="3"/>
  <c r="K187" i="3"/>
  <c r="L187" i="3"/>
  <c r="K196" i="3"/>
  <c r="L196" i="3"/>
  <c r="K423" i="3"/>
  <c r="K424" i="3"/>
  <c r="L56" i="3"/>
  <c r="K161" i="3"/>
  <c r="L271" i="3"/>
  <c r="K201" i="3"/>
  <c r="L201" i="3"/>
  <c r="K275" i="3"/>
  <c r="L293" i="3"/>
  <c r="K293" i="3"/>
  <c r="L298" i="3"/>
  <c r="K298" i="3"/>
  <c r="K49" i="3"/>
  <c r="L49" i="3"/>
  <c r="L72" i="3"/>
  <c r="K72" i="3"/>
  <c r="L106" i="3"/>
  <c r="K71" i="3"/>
  <c r="L71" i="3"/>
  <c r="K140" i="3"/>
  <c r="K229" i="3"/>
  <c r="L229" i="3"/>
  <c r="L85" i="3"/>
  <c r="K289" i="3"/>
  <c r="L289" i="3"/>
  <c r="K37" i="3"/>
  <c r="L37" i="3"/>
  <c r="L42" i="3"/>
  <c r="K42" i="3"/>
  <c r="L76" i="3"/>
  <c r="L94" i="3"/>
  <c r="K94" i="3"/>
  <c r="K213" i="3"/>
  <c r="L227" i="3"/>
  <c r="K227" i="3"/>
  <c r="K260" i="3"/>
  <c r="L275" i="3"/>
  <c r="L422" i="3"/>
  <c r="L462" i="3"/>
  <c r="L291" i="3"/>
  <c r="L52" i="3"/>
  <c r="K52" i="3"/>
  <c r="K73" i="3"/>
  <c r="L232" i="3"/>
  <c r="K232" i="3"/>
  <c r="L263" i="3"/>
  <c r="K263" i="3"/>
  <c r="K147" i="3"/>
  <c r="L189" i="3"/>
  <c r="K189" i="3"/>
  <c r="L402" i="3"/>
  <c r="K402" i="3"/>
  <c r="K151" i="3"/>
  <c r="L151" i="3"/>
  <c r="L197" i="3"/>
  <c r="K197" i="3"/>
  <c r="K250" i="3"/>
  <c r="L250" i="3"/>
  <c r="K74" i="3"/>
  <c r="K75" i="3"/>
  <c r="K132" i="3"/>
  <c r="L132" i="3"/>
  <c r="L148" i="3"/>
  <c r="K169" i="3"/>
  <c r="L169" i="3"/>
  <c r="L217" i="3"/>
  <c r="K247" i="3"/>
  <c r="L247" i="3"/>
  <c r="L338" i="3"/>
  <c r="L361" i="3"/>
  <c r="L412" i="3"/>
  <c r="K412" i="3"/>
  <c r="K461" i="3"/>
  <c r="K313" i="3"/>
  <c r="L313" i="3"/>
  <c r="K436" i="3"/>
  <c r="K28" i="3"/>
  <c r="K84" i="3"/>
  <c r="K155" i="3"/>
  <c r="L183" i="3"/>
  <c r="K183" i="3"/>
  <c r="K244" i="3"/>
  <c r="K336" i="3"/>
  <c r="L359" i="3"/>
  <c r="K359" i="3"/>
  <c r="L408" i="3"/>
  <c r="K408" i="3"/>
  <c r="K460" i="3"/>
  <c r="L466" i="3"/>
  <c r="K466" i="3"/>
  <c r="K476" i="3"/>
  <c r="K484" i="3"/>
  <c r="L499" i="3"/>
  <c r="K83" i="3"/>
  <c r="L92" i="3"/>
  <c r="K95" i="3"/>
  <c r="K113" i="3"/>
  <c r="K137" i="3"/>
  <c r="K138" i="3"/>
  <c r="K145" i="3"/>
  <c r="L145" i="3"/>
  <c r="K172" i="3"/>
  <c r="K194" i="3"/>
  <c r="L194" i="3"/>
  <c r="K202" i="3"/>
  <c r="L244" i="3"/>
  <c r="K326" i="3"/>
  <c r="L326" i="3"/>
  <c r="L343" i="3"/>
  <c r="K382" i="3"/>
  <c r="K10" i="3"/>
  <c r="K58" i="3"/>
  <c r="K188" i="3"/>
  <c r="K214" i="3"/>
  <c r="L230" i="3"/>
  <c r="K230" i="3"/>
  <c r="K255" i="3"/>
  <c r="L255" i="3"/>
  <c r="L407" i="3"/>
  <c r="K407" i="3"/>
  <c r="K419" i="3"/>
  <c r="L419" i="3"/>
  <c r="K470" i="3"/>
  <c r="K193" i="3"/>
  <c r="L193" i="3"/>
  <c r="K220" i="3"/>
  <c r="K425" i="3"/>
  <c r="L457" i="3"/>
  <c r="K457" i="3"/>
  <c r="K31" i="3"/>
  <c r="K266" i="3"/>
  <c r="K277" i="3"/>
  <c r="K286" i="3"/>
  <c r="L425" i="3"/>
  <c r="K432" i="3"/>
  <c r="K135" i="3"/>
  <c r="K203" i="3"/>
  <c r="K312" i="3"/>
  <c r="K360" i="3"/>
  <c r="K157" i="3"/>
  <c r="K184" i="3"/>
  <c r="K285" i="3"/>
  <c r="L308" i="3"/>
  <c r="K309" i="3"/>
  <c r="L310" i="3"/>
  <c r="K317" i="3"/>
  <c r="L318" i="3"/>
  <c r="L349" i="3"/>
  <c r="K367" i="3"/>
  <c r="K400" i="3"/>
  <c r="K324" i="3"/>
  <c r="K394" i="3"/>
  <c r="K430" i="3"/>
  <c r="K241" i="3"/>
  <c r="K265" i="3"/>
  <c r="K283" i="3"/>
  <c r="L322" i="3"/>
  <c r="L324" i="3"/>
  <c r="K348" i="3"/>
  <c r="K281" i="3"/>
  <c r="L352" i="3"/>
  <c r="K352" i="3"/>
  <c r="K110" i="3"/>
  <c r="L111" i="3"/>
  <c r="K111" i="3"/>
  <c r="K123" i="3"/>
  <c r="L135" i="3"/>
  <c r="L155" i="3"/>
  <c r="K225" i="3"/>
  <c r="L225" i="3"/>
  <c r="K69" i="3"/>
  <c r="L70" i="3"/>
  <c r="K97" i="3"/>
  <c r="L97" i="3"/>
  <c r="L173" i="3"/>
  <c r="K173" i="3"/>
  <c r="K134" i="3"/>
  <c r="K8" i="3"/>
  <c r="L8" i="3"/>
  <c r="K26" i="3"/>
  <c r="L26" i="3"/>
  <c r="K44" i="3"/>
  <c r="L44" i="3"/>
  <c r="K65" i="3"/>
  <c r="L65" i="3"/>
  <c r="L96" i="3"/>
  <c r="K96" i="3"/>
  <c r="L122" i="3"/>
  <c r="K129" i="3"/>
  <c r="L129" i="3"/>
  <c r="L133" i="3"/>
  <c r="K149" i="3"/>
  <c r="L246" i="3"/>
  <c r="K246" i="3"/>
  <c r="L276" i="3"/>
  <c r="K276" i="3"/>
  <c r="L316" i="3"/>
  <c r="L226" i="3"/>
  <c r="K226" i="3"/>
  <c r="L282" i="3"/>
  <c r="K282" i="3"/>
  <c r="L274" i="3"/>
  <c r="K274" i="3"/>
  <c r="K29" i="3"/>
  <c r="L48" i="3"/>
  <c r="K48" i="3"/>
  <c r="K128" i="3"/>
  <c r="L128" i="3"/>
  <c r="L433" i="3"/>
  <c r="K433" i="3"/>
  <c r="K7" i="3"/>
  <c r="L7" i="3"/>
  <c r="L487" i="3"/>
  <c r="K487" i="3"/>
  <c r="L87" i="3"/>
  <c r="K87" i="3"/>
  <c r="K104" i="3"/>
  <c r="L104" i="3"/>
  <c r="L120" i="3"/>
  <c r="L144" i="3"/>
  <c r="K144" i="3"/>
  <c r="L238" i="3"/>
  <c r="K238" i="3"/>
  <c r="K253" i="3"/>
  <c r="L405" i="3"/>
  <c r="K405" i="3"/>
  <c r="K127" i="3"/>
  <c r="L127" i="3"/>
  <c r="L191" i="3"/>
  <c r="K191" i="3"/>
  <c r="K199" i="3"/>
  <c r="L206" i="3"/>
  <c r="K206" i="3"/>
  <c r="L231" i="3"/>
  <c r="L12" i="3"/>
  <c r="K12" i="3"/>
  <c r="K47" i="3"/>
  <c r="K25" i="3"/>
  <c r="L25" i="3"/>
  <c r="K43" i="3"/>
  <c r="L43" i="3"/>
  <c r="L192" i="3"/>
  <c r="K192" i="3"/>
  <c r="L240" i="3"/>
  <c r="K240" i="3"/>
  <c r="L4" i="3"/>
  <c r="K4" i="3"/>
  <c r="L22" i="3"/>
  <c r="K22" i="3"/>
  <c r="L40" i="3"/>
  <c r="K40" i="3"/>
  <c r="K57" i="3"/>
  <c r="K2" i="3"/>
  <c r="K20" i="3"/>
  <c r="L57" i="3"/>
  <c r="L59" i="3"/>
  <c r="K59" i="3"/>
  <c r="L73" i="3"/>
  <c r="L86" i="3"/>
  <c r="K143" i="3"/>
  <c r="L143" i="3"/>
  <c r="K190" i="3"/>
  <c r="L264" i="3"/>
  <c r="K264" i="3"/>
  <c r="L337" i="3"/>
  <c r="L365" i="3"/>
  <c r="K365" i="3"/>
  <c r="K11" i="3"/>
  <c r="L30" i="3"/>
  <c r="K30" i="3"/>
  <c r="K170" i="3"/>
  <c r="L170" i="3"/>
  <c r="K305" i="3"/>
  <c r="K315" i="3"/>
  <c r="L360" i="3"/>
  <c r="L387" i="3"/>
  <c r="K387" i="3"/>
  <c r="K55" i="3"/>
  <c r="L84" i="3"/>
  <c r="L102" i="3"/>
  <c r="K102" i="3"/>
  <c r="K141" i="3"/>
  <c r="L156" i="3"/>
  <c r="K156" i="3"/>
  <c r="L213" i="3"/>
  <c r="K9" i="3"/>
  <c r="K17" i="3"/>
  <c r="K27" i="3"/>
  <c r="K35" i="3"/>
  <c r="K45" i="3"/>
  <c r="K53" i="3"/>
  <c r="L67" i="3"/>
  <c r="K81" i="3"/>
  <c r="K90" i="3"/>
  <c r="K118" i="3"/>
  <c r="K130" i="3"/>
  <c r="K158" i="3"/>
  <c r="L160" i="3"/>
  <c r="K166" i="3"/>
  <c r="L168" i="3"/>
  <c r="K168" i="3"/>
  <c r="L252" i="3"/>
  <c r="K252" i="3"/>
  <c r="L288" i="3"/>
  <c r="K288" i="3"/>
  <c r="K358" i="3"/>
  <c r="K328" i="3"/>
  <c r="L328" i="3"/>
  <c r="K107" i="3"/>
  <c r="L215" i="3"/>
  <c r="K215" i="3"/>
  <c r="L233" i="3"/>
  <c r="K233" i="3"/>
  <c r="L269" i="3"/>
  <c r="K269" i="3"/>
  <c r="L327" i="3"/>
  <c r="K327" i="3"/>
  <c r="K335" i="3"/>
  <c r="L335" i="3"/>
  <c r="L339" i="3"/>
  <c r="K339" i="3"/>
  <c r="K302" i="3"/>
  <c r="L302" i="3"/>
  <c r="L473" i="3"/>
  <c r="K473" i="3"/>
  <c r="K480" i="3"/>
  <c r="L480" i="3"/>
  <c r="L493" i="3"/>
  <c r="K493" i="3"/>
  <c r="K124" i="3"/>
  <c r="L184" i="3"/>
  <c r="K207" i="3"/>
  <c r="K208" i="3"/>
  <c r="L210" i="3"/>
  <c r="K210" i="3"/>
  <c r="K237" i="3"/>
  <c r="L237" i="3"/>
  <c r="K256" i="3"/>
  <c r="L258" i="3"/>
  <c r="K258" i="3"/>
  <c r="K273" i="3"/>
  <c r="L273" i="3"/>
  <c r="K292" i="3"/>
  <c r="L294" i="3"/>
  <c r="K294" i="3"/>
  <c r="L325" i="3"/>
  <c r="K325" i="3"/>
  <c r="L371" i="3"/>
  <c r="K372" i="3"/>
  <c r="L386" i="3"/>
  <c r="K450" i="3"/>
  <c r="L450" i="3"/>
  <c r="L451" i="3"/>
  <c r="K205" i="3"/>
  <c r="L228" i="3"/>
  <c r="K228" i="3"/>
  <c r="L222" i="3"/>
  <c r="K222" i="3"/>
  <c r="L479" i="3"/>
  <c r="K479" i="3"/>
  <c r="K486" i="3"/>
  <c r="L486" i="3"/>
  <c r="K5" i="3"/>
  <c r="K15" i="3"/>
  <c r="K23" i="3"/>
  <c r="K33" i="3"/>
  <c r="K41" i="3"/>
  <c r="K51" i="3"/>
  <c r="K60" i="3"/>
  <c r="L61" i="3"/>
  <c r="K88" i="3"/>
  <c r="L99" i="3"/>
  <c r="L100" i="3"/>
  <c r="L113" i="3"/>
  <c r="L114" i="3"/>
  <c r="K116" i="3"/>
  <c r="K125" i="3"/>
  <c r="L204" i="3"/>
  <c r="K204" i="3"/>
  <c r="L218" i="3"/>
  <c r="K218" i="3"/>
  <c r="K221" i="3"/>
  <c r="L236" i="3"/>
  <c r="K236" i="3"/>
  <c r="L272" i="3"/>
  <c r="K272" i="3"/>
  <c r="K331" i="3"/>
  <c r="K384" i="3"/>
  <c r="K420" i="3"/>
  <c r="L420" i="3"/>
  <c r="K434" i="3"/>
  <c r="L434" i="3"/>
  <c r="K464" i="3"/>
  <c r="L464" i="3"/>
  <c r="K64" i="3"/>
  <c r="K103" i="3"/>
  <c r="L180" i="3"/>
  <c r="K180" i="3"/>
  <c r="L200" i="3"/>
  <c r="K200" i="3"/>
  <c r="K235" i="3"/>
  <c r="K254" i="3"/>
  <c r="K290" i="3"/>
  <c r="K301" i="3"/>
  <c r="L329" i="3"/>
  <c r="K329" i="3"/>
  <c r="L353" i="3"/>
  <c r="K353" i="3"/>
  <c r="K409" i="3"/>
  <c r="K139" i="3"/>
  <c r="K175" i="3"/>
  <c r="L198" i="3"/>
  <c r="K198" i="3"/>
  <c r="L216" i="3"/>
  <c r="K216" i="3"/>
  <c r="L234" i="3"/>
  <c r="K234" i="3"/>
  <c r="L270" i="3"/>
  <c r="K270" i="3"/>
  <c r="K345" i="3"/>
  <c r="K404" i="3"/>
  <c r="L459" i="3"/>
  <c r="K459" i="3"/>
  <c r="K186" i="3"/>
  <c r="K243" i="3"/>
  <c r="K306" i="3"/>
  <c r="L306" i="3"/>
  <c r="L311" i="3"/>
  <c r="K311" i="3"/>
  <c r="L319" i="3"/>
  <c r="K319" i="3"/>
  <c r="K347" i="3"/>
  <c r="L348" i="3"/>
  <c r="L404" i="3"/>
  <c r="K458" i="3"/>
  <c r="L458" i="3"/>
  <c r="K211" i="3"/>
  <c r="K259" i="3"/>
  <c r="K261" i="3"/>
  <c r="K340" i="3"/>
  <c r="L340" i="3"/>
  <c r="L381" i="3"/>
  <c r="K381" i="3"/>
  <c r="K413" i="3"/>
  <c r="L413" i="3"/>
  <c r="L429" i="3"/>
  <c r="K429" i="3"/>
  <c r="L463" i="3"/>
  <c r="K463" i="3"/>
  <c r="L469" i="3"/>
  <c r="K469" i="3"/>
  <c r="L485" i="3"/>
  <c r="K485" i="3"/>
  <c r="K79" i="3"/>
  <c r="K115" i="3"/>
  <c r="K267" i="3"/>
  <c r="K410" i="3"/>
  <c r="K374" i="3"/>
  <c r="L417" i="3"/>
  <c r="K417" i="3"/>
  <c r="K438" i="3"/>
  <c r="K440" i="3"/>
  <c r="K444" i="3"/>
  <c r="K468" i="3"/>
  <c r="L468" i="3"/>
  <c r="L475" i="3"/>
  <c r="K475" i="3"/>
  <c r="K492" i="3"/>
  <c r="L492" i="3"/>
  <c r="K320" i="3"/>
  <c r="K341" i="3"/>
  <c r="K344" i="3"/>
  <c r="L354" i="3"/>
  <c r="K357" i="3"/>
  <c r="K366" i="3"/>
  <c r="L389" i="3"/>
  <c r="K392" i="3"/>
  <c r="L393" i="3"/>
  <c r="K393" i="3"/>
  <c r="K395" i="3"/>
  <c r="K396" i="3"/>
  <c r="K398" i="3"/>
  <c r="K435" i="3"/>
  <c r="K437" i="3"/>
  <c r="L438" i="3"/>
  <c r="K439" i="3"/>
  <c r="L440" i="3"/>
  <c r="K443" i="3"/>
  <c r="L444" i="3"/>
  <c r="K445" i="3"/>
  <c r="L447" i="3"/>
  <c r="K447" i="3"/>
  <c r="L449" i="3"/>
  <c r="K303" i="3"/>
  <c r="L320" i="3"/>
  <c r="L321" i="3"/>
  <c r="L342" i="3"/>
  <c r="L344" i="3"/>
  <c r="K355" i="3"/>
  <c r="L356" i="3"/>
  <c r="L357" i="3"/>
  <c r="K369" i="3"/>
  <c r="K391" i="3"/>
  <c r="L392" i="3"/>
  <c r="K397" i="3"/>
  <c r="L398" i="3"/>
  <c r="K441" i="3"/>
  <c r="L446" i="3"/>
  <c r="L467" i="3"/>
  <c r="K467" i="3"/>
  <c r="L491" i="3"/>
  <c r="K491" i="3"/>
  <c r="L368" i="3"/>
  <c r="L369" i="3"/>
  <c r="K399" i="3"/>
  <c r="K401" i="3"/>
  <c r="L465" i="3"/>
  <c r="K465" i="3"/>
  <c r="K474" i="3"/>
  <c r="L474" i="3"/>
  <c r="L481" i="3"/>
  <c r="K481" i="3"/>
  <c r="K452" i="3"/>
  <c r="L453" i="3"/>
  <c r="K453" i="3"/>
  <c r="L471" i="3"/>
  <c r="K471" i="3"/>
  <c r="L477" i="3"/>
  <c r="K477" i="3"/>
  <c r="L483" i="3"/>
  <c r="K483" i="3"/>
  <c r="L489" i="3"/>
  <c r="K489" i="3"/>
  <c r="L495" i="3"/>
  <c r="K495" i="3"/>
  <c r="K314" i="3"/>
  <c r="L470" i="3"/>
  <c r="L476" i="3"/>
  <c r="L482" i="3"/>
  <c r="L488" i="3"/>
  <c r="L494" i="3"/>
  <c r="L498" i="3"/>
  <c r="L501" i="3"/>
  <c r="K50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<sst xmlns="http://schemas.openxmlformats.org/spreadsheetml/2006/main" count="4968" uniqueCount="70">
  <si>
    <t>id_incidencia</t>
  </si>
  <si>
    <t>fecha_reporte</t>
  </si>
  <si>
    <t>hora_reporte</t>
  </si>
  <si>
    <t>estacion</t>
  </si>
  <si>
    <t>linea</t>
  </si>
  <si>
    <t>tipo_equipo</t>
  </si>
  <si>
    <t>tipo_incidencia</t>
  </si>
  <si>
    <t>prioridad</t>
  </si>
  <si>
    <t>estado</t>
  </si>
  <si>
    <t>fecha_atencion</t>
  </si>
  <si>
    <t>tiempo_atencion_horas</t>
  </si>
  <si>
    <t>area_responsable</t>
  </si>
  <si>
    <t>Escalera eléctrica</t>
  </si>
  <si>
    <t>Ascensor</t>
  </si>
  <si>
    <t>Torniquete</t>
  </si>
  <si>
    <t>Falla eléctrica</t>
  </si>
  <si>
    <t>Falla mecánica</t>
  </si>
  <si>
    <t>Baja</t>
  </si>
  <si>
    <t>Media</t>
  </si>
  <si>
    <t>Alta</t>
  </si>
  <si>
    <t>Pendiente</t>
  </si>
  <si>
    <t>En curso</t>
  </si>
  <si>
    <t>Atendida</t>
  </si>
  <si>
    <t>Angamos</t>
  </si>
  <si>
    <t>Línea 1</t>
  </si>
  <si>
    <t>Mantenimiento</t>
  </si>
  <si>
    <t>Bayóvar</t>
  </si>
  <si>
    <t>Atocongo</t>
  </si>
  <si>
    <t>La Cultura</t>
  </si>
  <si>
    <t>San Borja Sur</t>
  </si>
  <si>
    <t>Villa El Salvador</t>
  </si>
  <si>
    <t>Ayacucho</t>
  </si>
  <si>
    <t>Pumacahua</t>
  </si>
  <si>
    <t>Cabitos</t>
  </si>
  <si>
    <t>Gamarra</t>
  </si>
  <si>
    <t>San Carlos</t>
  </si>
  <si>
    <t>Santa Rosa</t>
  </si>
  <si>
    <t>TVM</t>
  </si>
  <si>
    <t>MET</t>
  </si>
  <si>
    <t>Radio</t>
  </si>
  <si>
    <t>Mantenimiento preventivo</t>
  </si>
  <si>
    <t>Daño en infraestructura</t>
  </si>
  <si>
    <t/>
  </si>
  <si>
    <t>Telecomunicaciones</t>
  </si>
  <si>
    <t>mes</t>
  </si>
  <si>
    <t>mes_reporte</t>
  </si>
  <si>
    <t>2023-11</t>
  </si>
  <si>
    <t>2024-05</t>
  </si>
  <si>
    <t>2023-03</t>
  </si>
  <si>
    <t>2023-01</t>
  </si>
  <si>
    <t>2023-06</t>
  </si>
  <si>
    <t>2023-09</t>
  </si>
  <si>
    <t>2024-01</t>
  </si>
  <si>
    <t>2023-07</t>
  </si>
  <si>
    <t>2023-05</t>
  </si>
  <si>
    <t>2023-04</t>
  </si>
  <si>
    <t>2023-10</t>
  </si>
  <si>
    <t>2024-04</t>
  </si>
  <si>
    <t>2024-06</t>
  </si>
  <si>
    <t>2024-12</t>
  </si>
  <si>
    <t>2023-12</t>
  </si>
  <si>
    <t>2023-02</t>
  </si>
  <si>
    <t>2024-03</t>
  </si>
  <si>
    <t>2024-02</t>
  </si>
  <si>
    <t>2024-08</t>
  </si>
  <si>
    <t>2024-07</t>
  </si>
  <si>
    <t>2024-09</t>
  </si>
  <si>
    <t>2024-10</t>
  </si>
  <si>
    <t>2024-11</t>
  </si>
  <si>
    <t>2023-08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</si>
</sst>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778CE-0809-455D-BB43-4CFE866EDCDF}">
  <dimension ref="A1:M501"/>
  <sheetViews>
    <sheetView workbookViewId="0">
      <selection activeCell="C2" sqref="C2"/>
    </sheetView>
  </sheetViews>
  <sheetFormatPr baseColWidth="10" defaultRowHeight="14.4" x14ac:dyDescent="0.3"/>
  <cols>
    <col min="1" max="1" width="14.5546875" customWidth="1"/>
    <col min="2" max="3" width="15" customWidth="1"/>
    <col min="4" max="4" width="18.5546875" customWidth="1"/>
    <col min="5" max="5" width="13.44140625" bestFit="1" customWidth="1"/>
    <col min="6" max="6" width="13.33203125" customWidth="1"/>
    <col min="7" max="7" width="20.6640625" customWidth="1"/>
    <col min="8" max="8" width="27" customWidth="1"/>
    <col min="9" max="9" width="13.21875" customWidth="1"/>
    <col min="11" max="11" width="14.109375" customWidth="1"/>
    <col min="12" max="12" width="20.5546875" customWidth="1"/>
    <col min="13" max="13" width="24.88671875" customWidth="1"/>
  </cols>
  <sheetData>
    <row r="1" spans="1:13" x14ac:dyDescent="0.3">
      <c r="A1" s="2" t="s">
        <v>0</v>
      </c>
      <c r="B1" s="2" t="s">
        <v>1</v>
      </c>
      <c r="C1" s="2" t="s">
        <v>44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3" x14ac:dyDescent="0.3">
      <c r="A2" s="3">
        <f>ROW()-1</f>
        <v>1</v>
      </c>
      <c r="B2" s="4">
        <f ca="1">DATE(2023,1,1)+RANDBETWEEN(0,730)</f>
        <v>45259</v>
      </c>
      <c r="C2" s="4" t="str">
        <f ca="1">TEXT(B2,"yyyy-mm")</f>
        <v>2023-11</v>
      </c>
      <c r="D2" s="5">
        <f ca="1">RANDBETWEEN(0,23)/24 + RANDBETWEEN(0,59)/1440</f>
        <v>0.37361111111111112</v>
      </c>
      <c r="E2" s="3" t="str" cm="1">
        <f t="array" aca="1" ref="E2" ca="1">INDEX(lista!$A$1:$A$12, RANDBETWEEN(1, 12))</f>
        <v>Ayacucho</v>
      </c>
      <c r="F2" s="3" t="s">
        <v>24</v>
      </c>
      <c r="G2" s="3" t="str" cm="1">
        <f t="array" aca="1" ref="G2" ca="1">INDEX(lista!$B$1:$B$6, RANDBETWEEN(1, 6))</f>
        <v>MET</v>
      </c>
      <c r="H2" s="3" t="str" cm="1">
        <f t="array" aca="1" ref="H2" ca="1">INDEX(lista!$C$1:$C$4, RANDBETWEEN(1, 4))</f>
        <v>Daño en infraestructura</v>
      </c>
      <c r="I2" s="3" t="str">
        <f ca="1">CHOOSE(RANDBETWEEN(1,10),"Baja","Baja","Baja","Media","Media","Media","Media","Alta","Alta","Alta")</f>
        <v>Baja</v>
      </c>
      <c r="J2" s="3" t="str">
        <f ca="1">CHOOSE(RANDBETWEEN(1,10),"Atendida","Atendida","Atendida","En curso","En curso","Pendiente","Pendiente","Atendida","Atendida","Atendida")</f>
        <v>Atendida</v>
      </c>
      <c r="K2" s="4">
        <f ca="1">IF(J2="Atendida",B2+RANDBETWEEN(0,2),"")</f>
        <v>45261</v>
      </c>
      <c r="L2" s="1">
        <f ca="1">IF(J2="Atendida",RANDBETWEEN(1,24),"")</f>
        <v>19</v>
      </c>
      <c r="M2" s="3" t="str">
        <f ca="1">IF(OR(G2="Escalera eléctrica",G2="Ascensor",G2="Puertas de andén"),"Mantenimiento",IF(G2="Sistema eléctrico","Infraestructura","Telecomunicaciones"))</f>
        <v>Telecomunicaciones</v>
      </c>
    </row>
    <row r="3" spans="1:13" x14ac:dyDescent="0.3">
      <c r="A3" s="3">
        <f t="shared" ref="A3:A66" si="0">ROW()-1</f>
        <v>2</v>
      </c>
      <c r="B3" s="4">
        <f t="shared" ref="B3:B257" ca="1" si="1">DATE(2023,1,1)+RANDBETWEEN(0,730)</f>
        <v>45166</v>
      </c>
      <c r="C3" s="4" t="str">
        <f t="shared" ref="C3:C66" ca="1" si="2">TEXT(B3,"yyyy-mm")</f>
        <v>2023-08</v>
      </c>
      <c r="D3" s="5">
        <f t="shared" ref="D3:D257" ca="1" si="3">RANDBETWEEN(0,23)/24 + RANDBETWEEN(0,59)/1440</f>
        <v>0.53125</v>
      </c>
      <c r="E3" s="3" t="str" cm="1">
        <f t="array" aca="1" ref="E3" ca="1">INDEX(lista!$A$1:$A$12, RANDBETWEEN(1, 12))</f>
        <v>Atocongo</v>
      </c>
      <c r="F3" s="3" t="s">
        <v>24</v>
      </c>
      <c r="G3" s="3" t="str" cm="1">
        <f t="array" aca="1" ref="G3" ca="1">INDEX(lista!$B$1:$B$6, RANDBETWEEN(1, 6))</f>
        <v>Radio</v>
      </c>
      <c r="H3" s="3" t="str" cm="1">
        <f t="array" aca="1" ref="H3" ca="1">INDEX(lista!$C$1:$C$4, RANDBETWEEN(1, 4))</f>
        <v>Falla eléctrica</v>
      </c>
      <c r="I3" s="3" t="str">
        <f t="shared" ref="I3:I66" ca="1" si="4">CHOOSE(RANDBETWEEN(1,10),"Baja","Baja","Baja","Media","Media","Media","Media","Alta","Alta","Alta")</f>
        <v>Media</v>
      </c>
      <c r="J3" s="3" t="str">
        <f t="shared" ref="J3:J66" ca="1" si="5">CHOOSE(RANDBETWEEN(1,10),"Atendida","Atendida","Atendida","En curso","En curso","Pendiente","Pendiente","Atendida","Atendida","Atendida")</f>
        <v>Atendida</v>
      </c>
      <c r="K3" s="4">
        <f t="shared" ref="K3:K66" ca="1" si="6">IF(J3="Atendida",B3+RANDBETWEEN(0,2),"")</f>
        <v>45168</v>
      </c>
      <c r="L3" s="1">
        <f t="shared" ref="L3:L66" ca="1" si="7">IF(J3="Atendida",RANDBETWEEN(1,24),"")</f>
        <v>13</v>
      </c>
      <c r="M3" s="3" t="str">
        <f t="shared" ref="M3:M66" ca="1" si="8">IF(OR(G3="Escalera eléctrica",G3="Ascensor",G3="Puertas de andén"),"Mantenimiento",IF(G3="Sistema eléctrico","Infraestructura","Telecomunicaciones"))</f>
        <v>Telecomunicaciones</v>
      </c>
    </row>
    <row r="4" spans="1:13" x14ac:dyDescent="0.3">
      <c r="A4" s="3">
        <f t="shared" si="0"/>
        <v>3</v>
      </c>
      <c r="B4" s="4">
        <f t="shared" ca="1" si="1"/>
        <v>45286</v>
      </c>
      <c r="C4" s="4" t="str">
        <f t="shared" ca="1" si="2"/>
        <v>2023-12</v>
      </c>
      <c r="D4" s="5">
        <f t="shared" ca="1" si="3"/>
        <v>0.85833333333333339</v>
      </c>
      <c r="E4" s="3" t="str" cm="1">
        <f t="array" aca="1" ref="E4" ca="1">INDEX(lista!$A$1:$A$12, RANDBETWEEN(1, 12))</f>
        <v>Gamarra</v>
      </c>
      <c r="F4" s="3" t="s">
        <v>24</v>
      </c>
      <c r="G4" s="3" t="str" cm="1">
        <f t="array" aca="1" ref="G4" ca="1">INDEX(lista!$B$1:$B$6, RANDBETWEEN(1, 6))</f>
        <v>MET</v>
      </c>
      <c r="H4" s="3" t="str" cm="1">
        <f t="array" aca="1" ref="H4" ca="1">INDEX(lista!$C$1:$C$4, RANDBETWEEN(1, 4))</f>
        <v>Mantenimiento preventivo</v>
      </c>
      <c r="I4" s="3" t="str">
        <f t="shared" ca="1" si="4"/>
        <v>Baja</v>
      </c>
      <c r="J4" s="3" t="str">
        <f t="shared" ca="1" si="5"/>
        <v>Atendida</v>
      </c>
      <c r="K4" s="4">
        <f t="shared" ca="1" si="6"/>
        <v>45287</v>
      </c>
      <c r="L4" s="1">
        <f t="shared" ca="1" si="7"/>
        <v>9</v>
      </c>
      <c r="M4" s="3" t="str">
        <f t="shared" ca="1" si="8"/>
        <v>Telecomunicaciones</v>
      </c>
    </row>
    <row r="5" spans="1:13" x14ac:dyDescent="0.3">
      <c r="A5" s="3">
        <f t="shared" si="0"/>
        <v>4</v>
      </c>
      <c r="B5" s="4">
        <f t="shared" ca="1" si="1"/>
        <v>45426</v>
      </c>
      <c r="C5" s="4" t="str">
        <f t="shared" ca="1" si="2"/>
        <v>2024-05</v>
      </c>
      <c r="D5" s="5">
        <f t="shared" ca="1" si="3"/>
        <v>0.71388888888888891</v>
      </c>
      <c r="E5" s="3" t="str" cm="1">
        <f t="array" aca="1" ref="E5" ca="1">INDEX(lista!$A$1:$A$12, RANDBETWEEN(1, 12))</f>
        <v>Bayóvar</v>
      </c>
      <c r="F5" s="3" t="s">
        <v>24</v>
      </c>
      <c r="G5" s="3" t="str" cm="1">
        <f t="array" aca="1" ref="G5" ca="1">INDEX(lista!$B$1:$B$6, RANDBETWEEN(1, 6))</f>
        <v>Radio</v>
      </c>
      <c r="H5" s="3" t="str" cm="1">
        <f t="array" aca="1" ref="H5" ca="1">INDEX(lista!$C$1:$C$4, RANDBETWEEN(1, 4))</f>
        <v>Mantenimiento preventivo</v>
      </c>
      <c r="I5" s="3" t="str">
        <f t="shared" ca="1" si="4"/>
        <v>Media</v>
      </c>
      <c r="J5" s="3" t="str">
        <f t="shared" ca="1" si="5"/>
        <v>Atendida</v>
      </c>
      <c r="K5" s="4">
        <f t="shared" ca="1" si="6"/>
        <v>45426</v>
      </c>
      <c r="L5" s="1">
        <f t="shared" ca="1" si="7"/>
        <v>22</v>
      </c>
      <c r="M5" s="3" t="str">
        <f t="shared" ca="1" si="8"/>
        <v>Telecomunicaciones</v>
      </c>
    </row>
    <row r="6" spans="1:13" x14ac:dyDescent="0.3">
      <c r="A6" s="3">
        <f t="shared" si="0"/>
        <v>5</v>
      </c>
      <c r="B6" s="4">
        <f t="shared" ca="1" si="1"/>
        <v>45595</v>
      </c>
      <c r="C6" s="4" t="str">
        <f t="shared" ca="1" si="2"/>
        <v>2024-10</v>
      </c>
      <c r="D6" s="5">
        <f t="shared" ca="1" si="3"/>
        <v>0.90208333333333335</v>
      </c>
      <c r="E6" s="3" t="str" cm="1">
        <f t="array" aca="1" ref="E6" ca="1">INDEX(lista!$A$1:$A$12, RANDBETWEEN(1, 12))</f>
        <v>Atocongo</v>
      </c>
      <c r="F6" s="3" t="s">
        <v>24</v>
      </c>
      <c r="G6" s="3" t="str" cm="1">
        <f t="array" aca="1" ref="G6" ca="1">INDEX(lista!$B$1:$B$6, RANDBETWEEN(1, 6))</f>
        <v>Ascensor</v>
      </c>
      <c r="H6" s="3" t="str" cm="1">
        <f t="array" aca="1" ref="H6" ca="1">INDEX(lista!$C$1:$C$4, RANDBETWEEN(1, 4))</f>
        <v>Falla mecánica</v>
      </c>
      <c r="I6" s="3" t="str">
        <f t="shared" ca="1" si="4"/>
        <v>Baja</v>
      </c>
      <c r="J6" s="3" t="str">
        <f t="shared" ca="1" si="5"/>
        <v>Pendiente</v>
      </c>
      <c r="K6" s="4" t="str">
        <f t="shared" ca="1" si="6"/>
        <v/>
      </c>
      <c r="L6" s="1" t="str">
        <f t="shared" ca="1" si="7"/>
        <v/>
      </c>
      <c r="M6" s="3" t="str">
        <f t="shared" ca="1" si="8"/>
        <v>Mantenimiento</v>
      </c>
    </row>
    <row r="7" spans="1:13" x14ac:dyDescent="0.3">
      <c r="A7" s="3">
        <f t="shared" si="0"/>
        <v>6</v>
      </c>
      <c r="B7" s="4">
        <f t="shared" ca="1" si="1"/>
        <v>45214</v>
      </c>
      <c r="C7" s="4" t="str">
        <f t="shared" ca="1" si="2"/>
        <v>2023-10</v>
      </c>
      <c r="D7" s="5">
        <f t="shared" ca="1" si="3"/>
        <v>8.4722222222222213E-2</v>
      </c>
      <c r="E7" s="3" t="str" cm="1">
        <f t="array" aca="1" ref="E7" ca="1">INDEX(lista!$A$1:$A$12, RANDBETWEEN(1, 12))</f>
        <v>Gamarra</v>
      </c>
      <c r="F7" s="3" t="s">
        <v>24</v>
      </c>
      <c r="G7" s="3" t="str" cm="1">
        <f t="array" aca="1" ref="G7" ca="1">INDEX(lista!$B$1:$B$6, RANDBETWEEN(1, 6))</f>
        <v>TVM</v>
      </c>
      <c r="H7" s="3" t="str" cm="1">
        <f t="array" aca="1" ref="H7" ca="1">INDEX(lista!$C$1:$C$4, RANDBETWEEN(1, 4))</f>
        <v>Falla mecánica</v>
      </c>
      <c r="I7" s="3" t="str">
        <f t="shared" ca="1" si="4"/>
        <v>Media</v>
      </c>
      <c r="J7" s="3" t="str">
        <f t="shared" ca="1" si="5"/>
        <v>Atendida</v>
      </c>
      <c r="K7" s="4">
        <f t="shared" ca="1" si="6"/>
        <v>45216</v>
      </c>
      <c r="L7" s="1">
        <f t="shared" ca="1" si="7"/>
        <v>24</v>
      </c>
      <c r="M7" s="3" t="str">
        <f t="shared" ca="1" si="8"/>
        <v>Telecomunicaciones</v>
      </c>
    </row>
    <row r="8" spans="1:13" x14ac:dyDescent="0.3">
      <c r="A8" s="3">
        <f t="shared" si="0"/>
        <v>7</v>
      </c>
      <c r="B8" s="4">
        <f t="shared" ca="1" si="1"/>
        <v>45369</v>
      </c>
      <c r="C8" s="4" t="str">
        <f t="shared" ca="1" si="2"/>
        <v>2024-03</v>
      </c>
      <c r="D8" s="5">
        <f t="shared" ca="1" si="3"/>
        <v>0.60694444444444451</v>
      </c>
      <c r="E8" s="3" t="str" cm="1">
        <f t="array" aca="1" ref="E8" ca="1">INDEX(lista!$A$1:$A$12, RANDBETWEEN(1, 12))</f>
        <v>Bayóvar</v>
      </c>
      <c r="F8" s="3" t="s">
        <v>24</v>
      </c>
      <c r="G8" s="3" t="str" cm="1">
        <f t="array" aca="1" ref="G8" ca="1">INDEX(lista!$B$1:$B$6, RANDBETWEEN(1, 6))</f>
        <v>MET</v>
      </c>
      <c r="H8" s="3" t="str" cm="1">
        <f t="array" aca="1" ref="H8" ca="1">INDEX(lista!$C$1:$C$4, RANDBETWEEN(1, 4))</f>
        <v>Mantenimiento preventivo</v>
      </c>
      <c r="I8" s="3" t="str">
        <f t="shared" ca="1" si="4"/>
        <v>Alta</v>
      </c>
      <c r="J8" s="3" t="str">
        <f t="shared" ca="1" si="5"/>
        <v>Atendida</v>
      </c>
      <c r="K8" s="4">
        <f t="shared" ca="1" si="6"/>
        <v>45370</v>
      </c>
      <c r="L8" s="1">
        <f t="shared" ca="1" si="7"/>
        <v>24</v>
      </c>
      <c r="M8" s="3" t="str">
        <f t="shared" ca="1" si="8"/>
        <v>Telecomunicaciones</v>
      </c>
    </row>
    <row r="9" spans="1:13" x14ac:dyDescent="0.3">
      <c r="A9" s="3">
        <f t="shared" si="0"/>
        <v>8</v>
      </c>
      <c r="B9" s="4">
        <f t="shared" ca="1" si="1"/>
        <v>45631</v>
      </c>
      <c r="C9" s="4" t="str">
        <f t="shared" ca="1" si="2"/>
        <v>2024-12</v>
      </c>
      <c r="D9" s="5">
        <f t="shared" ca="1" si="3"/>
        <v>0.26458333333333334</v>
      </c>
      <c r="E9" s="3" t="str" cm="1">
        <f t="array" aca="1" ref="E9" ca="1">INDEX(lista!$A$1:$A$12, RANDBETWEEN(1, 12))</f>
        <v>Bayóvar</v>
      </c>
      <c r="F9" s="3" t="s">
        <v>24</v>
      </c>
      <c r="G9" s="3" t="str" cm="1">
        <f t="array" aca="1" ref="G9" ca="1">INDEX(lista!$B$1:$B$6, RANDBETWEEN(1, 6))</f>
        <v>Torniquete</v>
      </c>
      <c r="H9" s="3" t="str" cm="1">
        <f t="array" aca="1" ref="H9" ca="1">INDEX(lista!$C$1:$C$4, RANDBETWEEN(1, 4))</f>
        <v>Mantenimiento preventivo</v>
      </c>
      <c r="I9" s="3" t="str">
        <f t="shared" ca="1" si="4"/>
        <v>Baja</v>
      </c>
      <c r="J9" s="3" t="str">
        <f t="shared" ca="1" si="5"/>
        <v>Atendida</v>
      </c>
      <c r="K9" s="4">
        <f t="shared" ca="1" si="6"/>
        <v>45632</v>
      </c>
      <c r="L9" s="1">
        <f t="shared" ca="1" si="7"/>
        <v>13</v>
      </c>
      <c r="M9" s="3" t="str">
        <f t="shared" ca="1" si="8"/>
        <v>Telecomunicaciones</v>
      </c>
    </row>
    <row r="10" spans="1:13" x14ac:dyDescent="0.3">
      <c r="A10" s="3">
        <f t="shared" si="0"/>
        <v>9</v>
      </c>
      <c r="B10" s="4">
        <f t="shared" ca="1" si="1"/>
        <v>44928</v>
      </c>
      <c r="C10" s="4" t="str">
        <f t="shared" ca="1" si="2"/>
        <v>2023-01</v>
      </c>
      <c r="D10" s="5">
        <f t="shared" ca="1" si="3"/>
        <v>9.8611111111111108E-2</v>
      </c>
      <c r="E10" s="3" t="str" cm="1">
        <f t="array" aca="1" ref="E10" ca="1">INDEX(lista!$A$1:$A$12, RANDBETWEEN(1, 12))</f>
        <v>Villa El Salvador</v>
      </c>
      <c r="F10" s="3" t="s">
        <v>24</v>
      </c>
      <c r="G10" s="3" t="str" cm="1">
        <f t="array" aca="1" ref="G10" ca="1">INDEX(lista!$B$1:$B$6, RANDBETWEEN(1, 6))</f>
        <v>TVM</v>
      </c>
      <c r="H10" s="3" t="str" cm="1">
        <f t="array" aca="1" ref="H10" ca="1">INDEX(lista!$C$1:$C$4, RANDBETWEEN(1, 4))</f>
        <v>Mantenimiento preventivo</v>
      </c>
      <c r="I10" s="3" t="str">
        <f t="shared" ca="1" si="4"/>
        <v>Baja</v>
      </c>
      <c r="J10" s="3" t="str">
        <f t="shared" ca="1" si="5"/>
        <v>Atendida</v>
      </c>
      <c r="K10" s="4">
        <f t="shared" ca="1" si="6"/>
        <v>44929</v>
      </c>
      <c r="L10" s="1">
        <f t="shared" ca="1" si="7"/>
        <v>24</v>
      </c>
      <c r="M10" s="3" t="str">
        <f t="shared" ca="1" si="8"/>
        <v>Telecomunicaciones</v>
      </c>
    </row>
    <row r="11" spans="1:13" x14ac:dyDescent="0.3">
      <c r="A11" s="3">
        <f t="shared" si="0"/>
        <v>10</v>
      </c>
      <c r="B11" s="4">
        <f t="shared" ca="1" si="1"/>
        <v>45482</v>
      </c>
      <c r="C11" s="4" t="str">
        <f t="shared" ca="1" si="2"/>
        <v>2024-07</v>
      </c>
      <c r="D11" s="5">
        <f t="shared" ca="1" si="3"/>
        <v>0.30069444444444449</v>
      </c>
      <c r="E11" s="3" t="str" cm="1">
        <f t="array" aca="1" ref="E11" ca="1">INDEX(lista!$A$1:$A$12, RANDBETWEEN(1, 12))</f>
        <v>Santa Rosa</v>
      </c>
      <c r="F11" s="3" t="s">
        <v>24</v>
      </c>
      <c r="G11" s="3" t="str" cm="1">
        <f t="array" aca="1" ref="G11" ca="1">INDEX(lista!$B$1:$B$6, RANDBETWEEN(1, 6))</f>
        <v>Torniquete</v>
      </c>
      <c r="H11" s="3" t="str" cm="1">
        <f t="array" aca="1" ref="H11" ca="1">INDEX(lista!$C$1:$C$4, RANDBETWEEN(1, 4))</f>
        <v>Falla eléctrica</v>
      </c>
      <c r="I11" s="3" t="str">
        <f t="shared" ca="1" si="4"/>
        <v>Media</v>
      </c>
      <c r="J11" s="3" t="str">
        <f t="shared" ca="1" si="5"/>
        <v>Pendiente</v>
      </c>
      <c r="K11" s="4" t="str">
        <f t="shared" ca="1" si="6"/>
        <v/>
      </c>
      <c r="L11" s="1" t="str">
        <f t="shared" ca="1" si="7"/>
        <v/>
      </c>
      <c r="M11" s="3" t="str">
        <f t="shared" ca="1" si="8"/>
        <v>Telecomunicaciones</v>
      </c>
    </row>
    <row r="12" spans="1:13" x14ac:dyDescent="0.3">
      <c r="A12" s="3">
        <f t="shared" si="0"/>
        <v>11</v>
      </c>
      <c r="B12" s="4">
        <f t="shared" ca="1" si="1"/>
        <v>45420</v>
      </c>
      <c r="C12" s="4" t="str">
        <f t="shared" ca="1" si="2"/>
        <v>2024-05</v>
      </c>
      <c r="D12" s="5">
        <f t="shared" ca="1" si="3"/>
        <v>0.33333333333333331</v>
      </c>
      <c r="E12" s="3" t="str" cm="1">
        <f t="array" aca="1" ref="E12" ca="1">INDEX(lista!$A$1:$A$12, RANDBETWEEN(1, 12))</f>
        <v>Angamos</v>
      </c>
      <c r="F12" s="3" t="s">
        <v>24</v>
      </c>
      <c r="G12" s="3" t="str" cm="1">
        <f t="array" aca="1" ref="G12" ca="1">INDEX(lista!$B$1:$B$6, RANDBETWEEN(1, 6))</f>
        <v>Torniquete</v>
      </c>
      <c r="H12" s="3" t="str" cm="1">
        <f t="array" aca="1" ref="H12" ca="1">INDEX(lista!$C$1:$C$4, RANDBETWEEN(1, 4))</f>
        <v>Falla eléctrica</v>
      </c>
      <c r="I12" s="3" t="str">
        <f t="shared" ca="1" si="4"/>
        <v>Media</v>
      </c>
      <c r="J12" s="3" t="str">
        <f t="shared" ca="1" si="5"/>
        <v>Atendida</v>
      </c>
      <c r="K12" s="4">
        <f t="shared" ca="1" si="6"/>
        <v>45421</v>
      </c>
      <c r="L12" s="1">
        <f t="shared" ca="1" si="7"/>
        <v>6</v>
      </c>
      <c r="M12" s="3" t="str">
        <f t="shared" ca="1" si="8"/>
        <v>Telecomunicaciones</v>
      </c>
    </row>
    <row r="13" spans="1:13" x14ac:dyDescent="0.3">
      <c r="A13" s="3">
        <f t="shared" si="0"/>
        <v>12</v>
      </c>
      <c r="B13" s="4">
        <f t="shared" ca="1" si="1"/>
        <v>45441</v>
      </c>
      <c r="C13" s="4" t="str">
        <f t="shared" ca="1" si="2"/>
        <v>2024-05</v>
      </c>
      <c r="D13" s="5">
        <f t="shared" ca="1" si="3"/>
        <v>0.4770833333333333</v>
      </c>
      <c r="E13" s="3" t="str" cm="1">
        <f t="array" aca="1" ref="E13" ca="1">INDEX(lista!$A$1:$A$12, RANDBETWEEN(1, 12))</f>
        <v>Villa El Salvador</v>
      </c>
      <c r="F13" s="3" t="s">
        <v>24</v>
      </c>
      <c r="G13" s="3" t="str" cm="1">
        <f t="array" aca="1" ref="G13" ca="1">INDEX(lista!$B$1:$B$6, RANDBETWEEN(1, 6))</f>
        <v>Ascensor</v>
      </c>
      <c r="H13" s="3" t="str" cm="1">
        <f t="array" aca="1" ref="H13" ca="1">INDEX(lista!$C$1:$C$4, RANDBETWEEN(1, 4))</f>
        <v>Falla mecánica</v>
      </c>
      <c r="I13" s="3" t="str">
        <f t="shared" ca="1" si="4"/>
        <v>Baja</v>
      </c>
      <c r="J13" s="3" t="str">
        <f t="shared" ca="1" si="5"/>
        <v>Atendida</v>
      </c>
      <c r="K13" s="4">
        <f t="shared" ca="1" si="6"/>
        <v>45443</v>
      </c>
      <c r="L13" s="1">
        <f t="shared" ca="1" si="7"/>
        <v>20</v>
      </c>
      <c r="M13" s="3" t="str">
        <f t="shared" ca="1" si="8"/>
        <v>Mantenimiento</v>
      </c>
    </row>
    <row r="14" spans="1:13" x14ac:dyDescent="0.3">
      <c r="A14" s="3">
        <f t="shared" si="0"/>
        <v>13</v>
      </c>
      <c r="B14" s="4">
        <f t="shared" ca="1" si="1"/>
        <v>44933</v>
      </c>
      <c r="C14" s="4" t="str">
        <f t="shared" ca="1" si="2"/>
        <v>2023-01</v>
      </c>
      <c r="D14" s="5">
        <f t="shared" ca="1" si="3"/>
        <v>0.92152777777777772</v>
      </c>
      <c r="E14" s="3" t="str" cm="1">
        <f t="array" aca="1" ref="E14" ca="1">INDEX(lista!$A$1:$A$12, RANDBETWEEN(1, 12))</f>
        <v>Ayacucho</v>
      </c>
      <c r="F14" s="3" t="s">
        <v>24</v>
      </c>
      <c r="G14" s="3" t="str" cm="1">
        <f t="array" aca="1" ref="G14" ca="1">INDEX(lista!$B$1:$B$6, RANDBETWEEN(1, 6))</f>
        <v>TVM</v>
      </c>
      <c r="H14" s="3" t="str" cm="1">
        <f t="array" aca="1" ref="H14" ca="1">INDEX(lista!$C$1:$C$4, RANDBETWEEN(1, 4))</f>
        <v>Falla mecánica</v>
      </c>
      <c r="I14" s="3" t="str">
        <f t="shared" ca="1" si="4"/>
        <v>Baja</v>
      </c>
      <c r="J14" s="3" t="str">
        <f t="shared" ca="1" si="5"/>
        <v>Atendida</v>
      </c>
      <c r="K14" s="4">
        <f t="shared" ca="1" si="6"/>
        <v>44935</v>
      </c>
      <c r="L14" s="1">
        <f t="shared" ca="1" si="7"/>
        <v>14</v>
      </c>
      <c r="M14" s="3" t="str">
        <f t="shared" ca="1" si="8"/>
        <v>Telecomunicaciones</v>
      </c>
    </row>
    <row r="15" spans="1:13" x14ac:dyDescent="0.3">
      <c r="A15" s="3">
        <f t="shared" si="0"/>
        <v>14</v>
      </c>
      <c r="B15" s="4">
        <f t="shared" ca="1" si="1"/>
        <v>45361</v>
      </c>
      <c r="C15" s="4" t="str">
        <f t="shared" ca="1" si="2"/>
        <v>2024-03</v>
      </c>
      <c r="D15" s="5">
        <f t="shared" ca="1" si="3"/>
        <v>0.92152777777777772</v>
      </c>
      <c r="E15" s="3" t="str" cm="1">
        <f t="array" aca="1" ref="E15" ca="1">INDEX(lista!$A$1:$A$12, RANDBETWEEN(1, 12))</f>
        <v>Villa El Salvador</v>
      </c>
      <c r="F15" s="3" t="s">
        <v>24</v>
      </c>
      <c r="G15" s="3" t="str" cm="1">
        <f t="array" aca="1" ref="G15" ca="1">INDEX(lista!$B$1:$B$6, RANDBETWEEN(1, 6))</f>
        <v>Escalera eléctrica</v>
      </c>
      <c r="H15" s="3" t="str" cm="1">
        <f t="array" aca="1" ref="H15" ca="1">INDEX(lista!$C$1:$C$4, RANDBETWEEN(1, 4))</f>
        <v>Falla mecánica</v>
      </c>
      <c r="I15" s="3" t="str">
        <f t="shared" ca="1" si="4"/>
        <v>Media</v>
      </c>
      <c r="J15" s="3" t="str">
        <f t="shared" ca="1" si="5"/>
        <v>En curso</v>
      </c>
      <c r="K15" s="4" t="str">
        <f t="shared" ca="1" si="6"/>
        <v/>
      </c>
      <c r="L15" s="1" t="str">
        <f t="shared" ca="1" si="7"/>
        <v/>
      </c>
      <c r="M15" s="3" t="str">
        <f t="shared" ca="1" si="8"/>
        <v>Mantenimiento</v>
      </c>
    </row>
    <row r="16" spans="1:13" x14ac:dyDescent="0.3">
      <c r="A16" s="3">
        <f t="shared" si="0"/>
        <v>15</v>
      </c>
      <c r="B16" s="4">
        <f t="shared" ca="1" si="1"/>
        <v>45013</v>
      </c>
      <c r="C16" s="4" t="str">
        <f t="shared" ca="1" si="2"/>
        <v>2023-03</v>
      </c>
      <c r="D16" s="5">
        <f t="shared" ca="1" si="3"/>
        <v>0.75624999999999998</v>
      </c>
      <c r="E16" s="3" t="str" cm="1">
        <f t="array" aca="1" ref="E16" ca="1">INDEX(lista!$A$1:$A$12, RANDBETWEEN(1, 12))</f>
        <v>Angamos</v>
      </c>
      <c r="F16" s="3" t="s">
        <v>24</v>
      </c>
      <c r="G16" s="3" t="str" cm="1">
        <f t="array" aca="1" ref="G16" ca="1">INDEX(lista!$B$1:$B$6, RANDBETWEEN(1, 6))</f>
        <v>Radio</v>
      </c>
      <c r="H16" s="3" t="str" cm="1">
        <f t="array" aca="1" ref="H16" ca="1">INDEX(lista!$C$1:$C$4, RANDBETWEEN(1, 4))</f>
        <v>Mantenimiento preventivo</v>
      </c>
      <c r="I16" s="3" t="str">
        <f t="shared" ca="1" si="4"/>
        <v>Media</v>
      </c>
      <c r="J16" s="3" t="str">
        <f t="shared" ca="1" si="5"/>
        <v>Atendida</v>
      </c>
      <c r="K16" s="4">
        <f t="shared" ca="1" si="6"/>
        <v>45013</v>
      </c>
      <c r="L16" s="1">
        <f t="shared" ca="1" si="7"/>
        <v>16</v>
      </c>
      <c r="M16" s="3" t="str">
        <f t="shared" ca="1" si="8"/>
        <v>Telecomunicaciones</v>
      </c>
    </row>
    <row r="17" spans="1:13" x14ac:dyDescent="0.3">
      <c r="A17" s="3">
        <f t="shared" si="0"/>
        <v>16</v>
      </c>
      <c r="B17" s="4">
        <f t="shared" ca="1" si="1"/>
        <v>45132</v>
      </c>
      <c r="C17" s="4" t="str">
        <f t="shared" ca="1" si="2"/>
        <v>2023-07</v>
      </c>
      <c r="D17" s="5">
        <f t="shared" ca="1" si="3"/>
        <v>0.33402777777777776</v>
      </c>
      <c r="E17" s="3" t="str" cm="1">
        <f t="array" aca="1" ref="E17" ca="1">INDEX(lista!$A$1:$A$12, RANDBETWEEN(1, 12))</f>
        <v>Angamos</v>
      </c>
      <c r="F17" s="3" t="s">
        <v>24</v>
      </c>
      <c r="G17" s="3" t="str" cm="1">
        <f t="array" aca="1" ref="G17" ca="1">INDEX(lista!$B$1:$B$6, RANDBETWEEN(1, 6))</f>
        <v>MET</v>
      </c>
      <c r="H17" s="3" t="str" cm="1">
        <f t="array" aca="1" ref="H17" ca="1">INDEX(lista!$C$1:$C$4, RANDBETWEEN(1, 4))</f>
        <v>Daño en infraestructura</v>
      </c>
      <c r="I17" s="3" t="str">
        <f t="shared" ca="1" si="4"/>
        <v>Baja</v>
      </c>
      <c r="J17" s="3" t="str">
        <f t="shared" ca="1" si="5"/>
        <v>Pendiente</v>
      </c>
      <c r="K17" s="4" t="str">
        <f t="shared" ca="1" si="6"/>
        <v/>
      </c>
      <c r="L17" s="1" t="str">
        <f t="shared" ca="1" si="7"/>
        <v/>
      </c>
      <c r="M17" s="3" t="str">
        <f t="shared" ca="1" si="8"/>
        <v>Telecomunicaciones</v>
      </c>
    </row>
    <row r="18" spans="1:13" x14ac:dyDescent="0.3">
      <c r="A18" s="3">
        <f t="shared" si="0"/>
        <v>17</v>
      </c>
      <c r="B18" s="4">
        <f t="shared" ca="1" si="1"/>
        <v>45280</v>
      </c>
      <c r="C18" s="4" t="str">
        <f t="shared" ca="1" si="2"/>
        <v>2023-12</v>
      </c>
      <c r="D18" s="5">
        <f t="shared" ca="1" si="3"/>
        <v>0.42986111111111114</v>
      </c>
      <c r="E18" s="3" t="str" cm="1">
        <f t="array" aca="1" ref="E18" ca="1">INDEX(lista!$A$1:$A$12, RANDBETWEEN(1, 12))</f>
        <v>Gamarra</v>
      </c>
      <c r="F18" s="3" t="s">
        <v>24</v>
      </c>
      <c r="G18" s="3" t="str" cm="1">
        <f t="array" aca="1" ref="G18" ca="1">INDEX(lista!$B$1:$B$6, RANDBETWEEN(1, 6))</f>
        <v>Ascensor</v>
      </c>
      <c r="H18" s="3" t="str" cm="1">
        <f t="array" aca="1" ref="H18" ca="1">INDEX(lista!$C$1:$C$4, RANDBETWEEN(1, 4))</f>
        <v>Daño en infraestructura</v>
      </c>
      <c r="I18" s="3" t="str">
        <f t="shared" ca="1" si="4"/>
        <v>Baja</v>
      </c>
      <c r="J18" s="3" t="str">
        <f t="shared" ca="1" si="5"/>
        <v>Pendiente</v>
      </c>
      <c r="K18" s="4" t="str">
        <f t="shared" ca="1" si="6"/>
        <v/>
      </c>
      <c r="L18" s="1" t="str">
        <f t="shared" ca="1" si="7"/>
        <v/>
      </c>
      <c r="M18" s="3" t="str">
        <f t="shared" ca="1" si="8"/>
        <v>Mantenimiento</v>
      </c>
    </row>
    <row r="19" spans="1:13" x14ac:dyDescent="0.3">
      <c r="A19" s="3">
        <f t="shared" si="0"/>
        <v>18</v>
      </c>
      <c r="B19" s="4">
        <f t="shared" ca="1" si="1"/>
        <v>44951</v>
      </c>
      <c r="C19" s="4" t="str">
        <f t="shared" ca="1" si="2"/>
        <v>2023-01</v>
      </c>
      <c r="D19" s="5">
        <f t="shared" ca="1" si="3"/>
        <v>0.8027777777777777</v>
      </c>
      <c r="E19" s="3" t="str" cm="1">
        <f t="array" aca="1" ref="E19" ca="1">INDEX(lista!$A$1:$A$12, RANDBETWEEN(1, 12))</f>
        <v>Pumacahua</v>
      </c>
      <c r="F19" s="3" t="s">
        <v>24</v>
      </c>
      <c r="G19" s="3" t="str" cm="1">
        <f t="array" aca="1" ref="G19" ca="1">INDEX(lista!$B$1:$B$6, RANDBETWEEN(1, 6))</f>
        <v>Radio</v>
      </c>
      <c r="H19" s="3" t="str" cm="1">
        <f t="array" aca="1" ref="H19" ca="1">INDEX(lista!$C$1:$C$4, RANDBETWEEN(1, 4))</f>
        <v>Falla eléctrica</v>
      </c>
      <c r="I19" s="3" t="str">
        <f t="shared" ca="1" si="4"/>
        <v>Media</v>
      </c>
      <c r="J19" s="3" t="str">
        <f t="shared" ca="1" si="5"/>
        <v>Atendida</v>
      </c>
      <c r="K19" s="4">
        <f t="shared" ca="1" si="6"/>
        <v>44953</v>
      </c>
      <c r="L19" s="1">
        <f t="shared" ca="1" si="7"/>
        <v>9</v>
      </c>
      <c r="M19" s="3" t="str">
        <f t="shared" ca="1" si="8"/>
        <v>Telecomunicaciones</v>
      </c>
    </row>
    <row r="20" spans="1:13" x14ac:dyDescent="0.3">
      <c r="A20" s="3">
        <f t="shared" si="0"/>
        <v>19</v>
      </c>
      <c r="B20" s="4">
        <f t="shared" ca="1" si="1"/>
        <v>45436</v>
      </c>
      <c r="C20" s="4" t="str">
        <f t="shared" ca="1" si="2"/>
        <v>2024-05</v>
      </c>
      <c r="D20" s="5">
        <f t="shared" ca="1" si="3"/>
        <v>0.87013888888888891</v>
      </c>
      <c r="E20" s="3" t="str" cm="1">
        <f t="array" aca="1" ref="E20" ca="1">INDEX(lista!$A$1:$A$12, RANDBETWEEN(1, 12))</f>
        <v>Villa El Salvador</v>
      </c>
      <c r="F20" s="3" t="s">
        <v>24</v>
      </c>
      <c r="G20" s="3" t="str" cm="1">
        <f t="array" aca="1" ref="G20" ca="1">INDEX(lista!$B$1:$B$6, RANDBETWEEN(1, 6))</f>
        <v>TVM</v>
      </c>
      <c r="H20" s="3" t="str" cm="1">
        <f t="array" aca="1" ref="H20" ca="1">INDEX(lista!$C$1:$C$4, RANDBETWEEN(1, 4))</f>
        <v>Mantenimiento preventivo</v>
      </c>
      <c r="I20" s="3" t="str">
        <f t="shared" ca="1" si="4"/>
        <v>Baja</v>
      </c>
      <c r="J20" s="3" t="str">
        <f t="shared" ca="1" si="5"/>
        <v>Atendida</v>
      </c>
      <c r="K20" s="4">
        <f t="shared" ca="1" si="6"/>
        <v>45438</v>
      </c>
      <c r="L20" s="1">
        <f t="shared" ca="1" si="7"/>
        <v>8</v>
      </c>
      <c r="M20" s="3" t="str">
        <f t="shared" ca="1" si="8"/>
        <v>Telecomunicaciones</v>
      </c>
    </row>
    <row r="21" spans="1:13" x14ac:dyDescent="0.3">
      <c r="A21" s="3">
        <f t="shared" si="0"/>
        <v>20</v>
      </c>
      <c r="B21" s="4">
        <f t="shared" ca="1" si="1"/>
        <v>45595</v>
      </c>
      <c r="C21" s="4" t="str">
        <f t="shared" ca="1" si="2"/>
        <v>2024-10</v>
      </c>
      <c r="D21" s="5">
        <f t="shared" ca="1" si="3"/>
        <v>0.78055555555555556</v>
      </c>
      <c r="E21" s="3" t="str" cm="1">
        <f t="array" aca="1" ref="E21" ca="1">INDEX(lista!$A$1:$A$12, RANDBETWEEN(1, 12))</f>
        <v>Atocongo</v>
      </c>
      <c r="F21" s="3" t="s">
        <v>24</v>
      </c>
      <c r="G21" s="3" t="str" cm="1">
        <f t="array" aca="1" ref="G21" ca="1">INDEX(lista!$B$1:$B$6, RANDBETWEEN(1, 6))</f>
        <v>MET</v>
      </c>
      <c r="H21" s="3" t="str" cm="1">
        <f t="array" aca="1" ref="H21" ca="1">INDEX(lista!$C$1:$C$4, RANDBETWEEN(1, 4))</f>
        <v>Falla mecánica</v>
      </c>
      <c r="I21" s="3" t="str">
        <f t="shared" ca="1" si="4"/>
        <v>Baja</v>
      </c>
      <c r="J21" s="3" t="str">
        <f t="shared" ca="1" si="5"/>
        <v>Atendida</v>
      </c>
      <c r="K21" s="4">
        <f t="shared" ca="1" si="6"/>
        <v>45595</v>
      </c>
      <c r="L21" s="1">
        <f t="shared" ca="1" si="7"/>
        <v>24</v>
      </c>
      <c r="M21" s="3" t="str">
        <f t="shared" ca="1" si="8"/>
        <v>Telecomunicaciones</v>
      </c>
    </row>
    <row r="22" spans="1:13" x14ac:dyDescent="0.3">
      <c r="A22" s="3">
        <f t="shared" si="0"/>
        <v>21</v>
      </c>
      <c r="B22" s="4">
        <f t="shared" ca="1" si="1"/>
        <v>45400</v>
      </c>
      <c r="C22" s="4" t="str">
        <f t="shared" ca="1" si="2"/>
        <v>2024-04</v>
      </c>
      <c r="D22" s="5">
        <f t="shared" ca="1" si="3"/>
        <v>0.77638888888888891</v>
      </c>
      <c r="E22" s="3" t="str" cm="1">
        <f t="array" aca="1" ref="E22" ca="1">INDEX(lista!$A$1:$A$12, RANDBETWEEN(1, 12))</f>
        <v>Pumacahua</v>
      </c>
      <c r="F22" s="3" t="s">
        <v>24</v>
      </c>
      <c r="G22" s="3" t="str" cm="1">
        <f t="array" aca="1" ref="G22" ca="1">INDEX(lista!$B$1:$B$6, RANDBETWEEN(1, 6))</f>
        <v>Torniquete</v>
      </c>
      <c r="H22" s="3" t="str" cm="1">
        <f t="array" aca="1" ref="H22" ca="1">INDEX(lista!$C$1:$C$4, RANDBETWEEN(1, 4))</f>
        <v>Daño en infraestructura</v>
      </c>
      <c r="I22" s="3" t="str">
        <f t="shared" ca="1" si="4"/>
        <v>Alta</v>
      </c>
      <c r="J22" s="3" t="str">
        <f t="shared" ca="1" si="5"/>
        <v>Pendiente</v>
      </c>
      <c r="K22" s="4" t="str">
        <f t="shared" ca="1" si="6"/>
        <v/>
      </c>
      <c r="L22" s="1" t="str">
        <f t="shared" ca="1" si="7"/>
        <v/>
      </c>
      <c r="M22" s="3" t="str">
        <f t="shared" ca="1" si="8"/>
        <v>Telecomunicaciones</v>
      </c>
    </row>
    <row r="23" spans="1:13" x14ac:dyDescent="0.3">
      <c r="A23" s="3">
        <f t="shared" si="0"/>
        <v>22</v>
      </c>
      <c r="B23" s="4">
        <f t="shared" ca="1" si="1"/>
        <v>45448</v>
      </c>
      <c r="C23" s="4" t="str">
        <f t="shared" ca="1" si="2"/>
        <v>2024-06</v>
      </c>
      <c r="D23" s="5">
        <f t="shared" ca="1" si="3"/>
        <v>0.55347222222222214</v>
      </c>
      <c r="E23" s="3" t="str" cm="1">
        <f t="array" aca="1" ref="E23" ca="1">INDEX(lista!$A$1:$A$12, RANDBETWEEN(1, 12))</f>
        <v>Santa Rosa</v>
      </c>
      <c r="F23" s="3" t="s">
        <v>24</v>
      </c>
      <c r="G23" s="3" t="str" cm="1">
        <f t="array" aca="1" ref="G23" ca="1">INDEX(lista!$B$1:$B$6, RANDBETWEEN(1, 6))</f>
        <v>Ascensor</v>
      </c>
      <c r="H23" s="3" t="str" cm="1">
        <f t="array" aca="1" ref="H23" ca="1">INDEX(lista!$C$1:$C$4, RANDBETWEEN(1, 4))</f>
        <v>Falla eléctrica</v>
      </c>
      <c r="I23" s="3" t="str">
        <f t="shared" ca="1" si="4"/>
        <v>Media</v>
      </c>
      <c r="J23" s="3" t="str">
        <f t="shared" ca="1" si="5"/>
        <v>Atendida</v>
      </c>
      <c r="K23" s="4">
        <f t="shared" ca="1" si="6"/>
        <v>45449</v>
      </c>
      <c r="L23" s="1">
        <f t="shared" ca="1" si="7"/>
        <v>16</v>
      </c>
      <c r="M23" s="3" t="str">
        <f t="shared" ca="1" si="8"/>
        <v>Mantenimiento</v>
      </c>
    </row>
    <row r="24" spans="1:13" x14ac:dyDescent="0.3">
      <c r="A24" s="3">
        <f t="shared" si="0"/>
        <v>23</v>
      </c>
      <c r="B24" s="4">
        <f t="shared" ca="1" si="1"/>
        <v>44991</v>
      </c>
      <c r="C24" s="4" t="str">
        <f t="shared" ca="1" si="2"/>
        <v>2023-03</v>
      </c>
      <c r="D24" s="5">
        <f t="shared" ca="1" si="3"/>
        <v>0.92291666666666661</v>
      </c>
      <c r="E24" s="3" t="str" cm="1">
        <f t="array" aca="1" ref="E24" ca="1">INDEX(lista!$A$1:$A$12, RANDBETWEEN(1, 12))</f>
        <v>San Carlos</v>
      </c>
      <c r="F24" s="3" t="s">
        <v>24</v>
      </c>
      <c r="G24" s="3" t="str" cm="1">
        <f t="array" aca="1" ref="G24" ca="1">INDEX(lista!$B$1:$B$6, RANDBETWEEN(1, 6))</f>
        <v>MET</v>
      </c>
      <c r="H24" s="3" t="str" cm="1">
        <f t="array" aca="1" ref="H24" ca="1">INDEX(lista!$C$1:$C$4, RANDBETWEEN(1, 4))</f>
        <v>Falla mecánica</v>
      </c>
      <c r="I24" s="3" t="str">
        <f t="shared" ca="1" si="4"/>
        <v>Media</v>
      </c>
      <c r="J24" s="3" t="str">
        <f t="shared" ca="1" si="5"/>
        <v>Pendiente</v>
      </c>
      <c r="K24" s="4" t="str">
        <f t="shared" ca="1" si="6"/>
        <v/>
      </c>
      <c r="L24" s="1" t="str">
        <f t="shared" ca="1" si="7"/>
        <v/>
      </c>
      <c r="M24" s="3" t="str">
        <f t="shared" ca="1" si="8"/>
        <v>Telecomunicaciones</v>
      </c>
    </row>
    <row r="25" spans="1:13" x14ac:dyDescent="0.3">
      <c r="A25" s="3">
        <f t="shared" si="0"/>
        <v>24</v>
      </c>
      <c r="B25" s="4">
        <f t="shared" ca="1" si="1"/>
        <v>45245</v>
      </c>
      <c r="C25" s="4" t="str">
        <f t="shared" ca="1" si="2"/>
        <v>2023-11</v>
      </c>
      <c r="D25" s="5">
        <f t="shared" ca="1" si="3"/>
        <v>0.64930555555555558</v>
      </c>
      <c r="E25" s="3" t="str" cm="1">
        <f t="array" aca="1" ref="E25" ca="1">INDEX(lista!$A$1:$A$12, RANDBETWEEN(1, 12))</f>
        <v>Bayóvar</v>
      </c>
      <c r="F25" s="3" t="s">
        <v>24</v>
      </c>
      <c r="G25" s="3" t="str" cm="1">
        <f t="array" aca="1" ref="G25" ca="1">INDEX(lista!$B$1:$B$6, RANDBETWEEN(1, 6))</f>
        <v>MET</v>
      </c>
      <c r="H25" s="3" t="str" cm="1">
        <f t="array" aca="1" ref="H25" ca="1">INDEX(lista!$C$1:$C$4, RANDBETWEEN(1, 4))</f>
        <v>Falla eléctrica</v>
      </c>
      <c r="I25" s="3" t="str">
        <f t="shared" ca="1" si="4"/>
        <v>Baja</v>
      </c>
      <c r="J25" s="3" t="str">
        <f t="shared" ca="1" si="5"/>
        <v>Atendida</v>
      </c>
      <c r="K25" s="4">
        <f t="shared" ca="1" si="6"/>
        <v>45245</v>
      </c>
      <c r="L25" s="1">
        <f t="shared" ca="1" si="7"/>
        <v>10</v>
      </c>
      <c r="M25" s="3" t="str">
        <f t="shared" ca="1" si="8"/>
        <v>Telecomunicaciones</v>
      </c>
    </row>
    <row r="26" spans="1:13" x14ac:dyDescent="0.3">
      <c r="A26" s="3">
        <f t="shared" si="0"/>
        <v>25</v>
      </c>
      <c r="B26" s="4">
        <f t="shared" ca="1" si="1"/>
        <v>45086</v>
      </c>
      <c r="C26" s="4" t="str">
        <f t="shared" ca="1" si="2"/>
        <v>2023-06</v>
      </c>
      <c r="D26" s="5">
        <f t="shared" ca="1" si="3"/>
        <v>0.82361111111111107</v>
      </c>
      <c r="E26" s="3" t="str" cm="1">
        <f t="array" aca="1" ref="E26" ca="1">INDEX(lista!$A$1:$A$12, RANDBETWEEN(1, 12))</f>
        <v>San Carlos</v>
      </c>
      <c r="F26" s="3" t="s">
        <v>24</v>
      </c>
      <c r="G26" s="3" t="str" cm="1">
        <f t="array" aca="1" ref="G26" ca="1">INDEX(lista!$B$1:$B$6, RANDBETWEEN(1, 6))</f>
        <v>Radio</v>
      </c>
      <c r="H26" s="3" t="str" cm="1">
        <f t="array" aca="1" ref="H26" ca="1">INDEX(lista!$C$1:$C$4, RANDBETWEEN(1, 4))</f>
        <v>Falla mecánica</v>
      </c>
      <c r="I26" s="3" t="str">
        <f t="shared" ca="1" si="4"/>
        <v>Media</v>
      </c>
      <c r="J26" s="3" t="str">
        <f t="shared" ca="1" si="5"/>
        <v>Pendiente</v>
      </c>
      <c r="K26" s="4" t="str">
        <f t="shared" ca="1" si="6"/>
        <v/>
      </c>
      <c r="L26" s="1" t="str">
        <f t="shared" ca="1" si="7"/>
        <v/>
      </c>
      <c r="M26" s="3" t="str">
        <f t="shared" ca="1" si="8"/>
        <v>Telecomunicaciones</v>
      </c>
    </row>
    <row r="27" spans="1:13" x14ac:dyDescent="0.3">
      <c r="A27" s="3">
        <f t="shared" si="0"/>
        <v>26</v>
      </c>
      <c r="B27" s="4">
        <f t="shared" ca="1" si="1"/>
        <v>45120</v>
      </c>
      <c r="C27" s="4" t="str">
        <f t="shared" ca="1" si="2"/>
        <v>2023-07</v>
      </c>
      <c r="D27" s="5">
        <f t="shared" ca="1" si="3"/>
        <v>0.24652777777777779</v>
      </c>
      <c r="E27" s="3" t="str" cm="1">
        <f t="array" aca="1" ref="E27" ca="1">INDEX(lista!$A$1:$A$12, RANDBETWEEN(1, 12))</f>
        <v>Santa Rosa</v>
      </c>
      <c r="F27" s="3" t="s">
        <v>24</v>
      </c>
      <c r="G27" s="3" t="str" cm="1">
        <f t="array" aca="1" ref="G27" ca="1">INDEX(lista!$B$1:$B$6, RANDBETWEEN(1, 6))</f>
        <v>Torniquete</v>
      </c>
      <c r="H27" s="3" t="str" cm="1">
        <f t="array" aca="1" ref="H27" ca="1">INDEX(lista!$C$1:$C$4, RANDBETWEEN(1, 4))</f>
        <v>Mantenimiento preventivo</v>
      </c>
      <c r="I27" s="3" t="str">
        <f t="shared" ca="1" si="4"/>
        <v>Alta</v>
      </c>
      <c r="J27" s="3" t="str">
        <f t="shared" ca="1" si="5"/>
        <v>Atendida</v>
      </c>
      <c r="K27" s="4">
        <f t="shared" ca="1" si="6"/>
        <v>45120</v>
      </c>
      <c r="L27" s="1">
        <f t="shared" ca="1" si="7"/>
        <v>12</v>
      </c>
      <c r="M27" s="3" t="str">
        <f t="shared" ca="1" si="8"/>
        <v>Telecomunicaciones</v>
      </c>
    </row>
    <row r="28" spans="1:13" x14ac:dyDescent="0.3">
      <c r="A28" s="3">
        <f t="shared" si="0"/>
        <v>27</v>
      </c>
      <c r="B28" s="4">
        <f t="shared" ca="1" si="1"/>
        <v>44975</v>
      </c>
      <c r="C28" s="4" t="str">
        <f t="shared" ca="1" si="2"/>
        <v>2023-02</v>
      </c>
      <c r="D28" s="5">
        <f t="shared" ca="1" si="3"/>
        <v>0.95</v>
      </c>
      <c r="E28" s="3" t="str" cm="1">
        <f t="array" aca="1" ref="E28" ca="1">INDEX(lista!$A$1:$A$12, RANDBETWEEN(1, 12))</f>
        <v>Bayóvar</v>
      </c>
      <c r="F28" s="3" t="s">
        <v>24</v>
      </c>
      <c r="G28" s="3" t="str" cm="1">
        <f t="array" aca="1" ref="G28" ca="1">INDEX(lista!$B$1:$B$6, RANDBETWEEN(1, 6))</f>
        <v>Ascensor</v>
      </c>
      <c r="H28" s="3" t="str" cm="1">
        <f t="array" aca="1" ref="H28" ca="1">INDEX(lista!$C$1:$C$4, RANDBETWEEN(1, 4))</f>
        <v>Falla mecánica</v>
      </c>
      <c r="I28" s="3" t="str">
        <f t="shared" ca="1" si="4"/>
        <v>Baja</v>
      </c>
      <c r="J28" s="3" t="str">
        <f t="shared" ca="1" si="5"/>
        <v>Pendiente</v>
      </c>
      <c r="K28" s="4" t="str">
        <f t="shared" ca="1" si="6"/>
        <v/>
      </c>
      <c r="L28" s="1" t="str">
        <f t="shared" ca="1" si="7"/>
        <v/>
      </c>
      <c r="M28" s="3" t="str">
        <f t="shared" ca="1" si="8"/>
        <v>Mantenimiento</v>
      </c>
    </row>
    <row r="29" spans="1:13" x14ac:dyDescent="0.3">
      <c r="A29" s="3">
        <f t="shared" si="0"/>
        <v>28</v>
      </c>
      <c r="B29" s="4">
        <f t="shared" ca="1" si="1"/>
        <v>45599</v>
      </c>
      <c r="C29" s="4" t="str">
        <f t="shared" ca="1" si="2"/>
        <v>2024-11</v>
      </c>
      <c r="D29" s="5">
        <f t="shared" ca="1" si="3"/>
        <v>0.90972222222222221</v>
      </c>
      <c r="E29" s="3" t="str" cm="1">
        <f t="array" aca="1" ref="E29" ca="1">INDEX(lista!$A$1:$A$12, RANDBETWEEN(1, 12))</f>
        <v>Bayóvar</v>
      </c>
      <c r="F29" s="3" t="s">
        <v>24</v>
      </c>
      <c r="G29" s="3" t="str" cm="1">
        <f t="array" aca="1" ref="G29" ca="1">INDEX(lista!$B$1:$B$6, RANDBETWEEN(1, 6))</f>
        <v>TVM</v>
      </c>
      <c r="H29" s="3" t="str" cm="1">
        <f t="array" aca="1" ref="H29" ca="1">INDEX(lista!$C$1:$C$4, RANDBETWEEN(1, 4))</f>
        <v>Daño en infraestructura</v>
      </c>
      <c r="I29" s="3" t="str">
        <f t="shared" ca="1" si="4"/>
        <v>Media</v>
      </c>
      <c r="J29" s="3" t="str">
        <f t="shared" ca="1" si="5"/>
        <v>Atendida</v>
      </c>
      <c r="K29" s="4">
        <f t="shared" ca="1" si="6"/>
        <v>45601</v>
      </c>
      <c r="L29" s="1">
        <f t="shared" ca="1" si="7"/>
        <v>23</v>
      </c>
      <c r="M29" s="3" t="str">
        <f t="shared" ca="1" si="8"/>
        <v>Telecomunicaciones</v>
      </c>
    </row>
    <row r="30" spans="1:13" x14ac:dyDescent="0.3">
      <c r="A30" s="3">
        <f t="shared" si="0"/>
        <v>29</v>
      </c>
      <c r="B30" s="4">
        <f t="shared" ca="1" si="1"/>
        <v>45481</v>
      </c>
      <c r="C30" s="4" t="str">
        <f t="shared" ca="1" si="2"/>
        <v>2024-07</v>
      </c>
      <c r="D30" s="5">
        <f t="shared" ca="1" si="3"/>
        <v>0.37847222222222221</v>
      </c>
      <c r="E30" s="3" t="str" cm="1">
        <f t="array" aca="1" ref="E30" ca="1">INDEX(lista!$A$1:$A$12, RANDBETWEEN(1, 12))</f>
        <v>Cabitos</v>
      </c>
      <c r="F30" s="3" t="s">
        <v>24</v>
      </c>
      <c r="G30" s="3" t="str" cm="1">
        <f t="array" aca="1" ref="G30" ca="1">INDEX(lista!$B$1:$B$6, RANDBETWEEN(1, 6))</f>
        <v>Escalera eléctrica</v>
      </c>
      <c r="H30" s="3" t="str" cm="1">
        <f t="array" aca="1" ref="H30" ca="1">INDEX(lista!$C$1:$C$4, RANDBETWEEN(1, 4))</f>
        <v>Daño en infraestructura</v>
      </c>
      <c r="I30" s="3" t="str">
        <f t="shared" ca="1" si="4"/>
        <v>Alta</v>
      </c>
      <c r="J30" s="3" t="str">
        <f t="shared" ca="1" si="5"/>
        <v>Pendiente</v>
      </c>
      <c r="K30" s="4" t="str">
        <f t="shared" ca="1" si="6"/>
        <v/>
      </c>
      <c r="L30" s="1" t="str">
        <f t="shared" ca="1" si="7"/>
        <v/>
      </c>
      <c r="M30" s="3" t="str">
        <f t="shared" ca="1" si="8"/>
        <v>Mantenimiento</v>
      </c>
    </row>
    <row r="31" spans="1:13" x14ac:dyDescent="0.3">
      <c r="A31" s="3">
        <f t="shared" si="0"/>
        <v>30</v>
      </c>
      <c r="B31" s="4">
        <f t="shared" ca="1" si="1"/>
        <v>45546</v>
      </c>
      <c r="C31" s="4" t="str">
        <f t="shared" ca="1" si="2"/>
        <v>2024-09</v>
      </c>
      <c r="D31" s="5">
        <f t="shared" ca="1" si="3"/>
        <v>0.99236111111111114</v>
      </c>
      <c r="E31" s="3" t="str" cm="1">
        <f t="array" aca="1" ref="E31" ca="1">INDEX(lista!$A$1:$A$12, RANDBETWEEN(1, 12))</f>
        <v>San Borja Sur</v>
      </c>
      <c r="F31" s="3" t="s">
        <v>24</v>
      </c>
      <c r="G31" s="3" t="str" cm="1">
        <f t="array" aca="1" ref="G31" ca="1">INDEX(lista!$B$1:$B$6, RANDBETWEEN(1, 6))</f>
        <v>Ascensor</v>
      </c>
      <c r="H31" s="3" t="str" cm="1">
        <f t="array" aca="1" ref="H31" ca="1">INDEX(lista!$C$1:$C$4, RANDBETWEEN(1, 4))</f>
        <v>Falla eléctrica</v>
      </c>
      <c r="I31" s="3" t="str">
        <f t="shared" ca="1" si="4"/>
        <v>Media</v>
      </c>
      <c r="J31" s="3" t="str">
        <f t="shared" ca="1" si="5"/>
        <v>Atendida</v>
      </c>
      <c r="K31" s="4">
        <f t="shared" ca="1" si="6"/>
        <v>45548</v>
      </c>
      <c r="L31" s="1">
        <f t="shared" ca="1" si="7"/>
        <v>12</v>
      </c>
      <c r="M31" s="3" t="str">
        <f t="shared" ca="1" si="8"/>
        <v>Mantenimiento</v>
      </c>
    </row>
    <row r="32" spans="1:13" x14ac:dyDescent="0.3">
      <c r="A32" s="3">
        <f t="shared" si="0"/>
        <v>31</v>
      </c>
      <c r="B32" s="4">
        <f t="shared" ca="1" si="1"/>
        <v>45177</v>
      </c>
      <c r="C32" s="4" t="str">
        <f t="shared" ca="1" si="2"/>
        <v>2023-09</v>
      </c>
      <c r="D32" s="5">
        <f t="shared" ca="1" si="3"/>
        <v>4.6527777777777779E-2</v>
      </c>
      <c r="E32" s="3" t="str" cm="1">
        <f t="array" aca="1" ref="E32" ca="1">INDEX(lista!$A$1:$A$12, RANDBETWEEN(1, 12))</f>
        <v>Ayacucho</v>
      </c>
      <c r="F32" s="3" t="s">
        <v>24</v>
      </c>
      <c r="G32" s="3" t="str" cm="1">
        <f t="array" aca="1" ref="G32" ca="1">INDEX(lista!$B$1:$B$6, RANDBETWEEN(1, 6))</f>
        <v>Radio</v>
      </c>
      <c r="H32" s="3" t="str" cm="1">
        <f t="array" aca="1" ref="H32" ca="1">INDEX(lista!$C$1:$C$4, RANDBETWEEN(1, 4))</f>
        <v>Daño en infraestructura</v>
      </c>
      <c r="I32" s="3" t="str">
        <f t="shared" ca="1" si="4"/>
        <v>Media</v>
      </c>
      <c r="J32" s="3" t="str">
        <f t="shared" ca="1" si="5"/>
        <v>En curso</v>
      </c>
      <c r="K32" s="4" t="str">
        <f t="shared" ca="1" si="6"/>
        <v/>
      </c>
      <c r="L32" s="1" t="str">
        <f t="shared" ca="1" si="7"/>
        <v/>
      </c>
      <c r="M32" s="3" t="str">
        <f t="shared" ca="1" si="8"/>
        <v>Telecomunicaciones</v>
      </c>
    </row>
    <row r="33" spans="1:13" x14ac:dyDescent="0.3">
      <c r="A33" s="3">
        <f t="shared" si="0"/>
        <v>32</v>
      </c>
      <c r="B33" s="4">
        <f t="shared" ca="1" si="1"/>
        <v>45473</v>
      </c>
      <c r="C33" s="4" t="str">
        <f t="shared" ca="1" si="2"/>
        <v>2024-06</v>
      </c>
      <c r="D33" s="5">
        <f t="shared" ca="1" si="3"/>
        <v>0.16666666666666666</v>
      </c>
      <c r="E33" s="3" t="str" cm="1">
        <f t="array" aca="1" ref="E33" ca="1">INDEX(lista!$A$1:$A$12, RANDBETWEEN(1, 12))</f>
        <v>Gamarra</v>
      </c>
      <c r="F33" s="3" t="s">
        <v>24</v>
      </c>
      <c r="G33" s="3" t="str" cm="1">
        <f t="array" aca="1" ref="G33" ca="1">INDEX(lista!$B$1:$B$6, RANDBETWEEN(1, 6))</f>
        <v>MET</v>
      </c>
      <c r="H33" s="3" t="str" cm="1">
        <f t="array" aca="1" ref="H33" ca="1">INDEX(lista!$C$1:$C$4, RANDBETWEEN(1, 4))</f>
        <v>Mantenimiento preventivo</v>
      </c>
      <c r="I33" s="3" t="str">
        <f t="shared" ca="1" si="4"/>
        <v>Media</v>
      </c>
      <c r="J33" s="3" t="str">
        <f t="shared" ca="1" si="5"/>
        <v>Pendiente</v>
      </c>
      <c r="K33" s="4" t="str">
        <f t="shared" ca="1" si="6"/>
        <v/>
      </c>
      <c r="L33" s="1" t="str">
        <f t="shared" ca="1" si="7"/>
        <v/>
      </c>
      <c r="M33" s="3" t="str">
        <f t="shared" ca="1" si="8"/>
        <v>Telecomunicaciones</v>
      </c>
    </row>
    <row r="34" spans="1:13" x14ac:dyDescent="0.3">
      <c r="A34" s="3">
        <f t="shared" si="0"/>
        <v>33</v>
      </c>
      <c r="B34" s="4">
        <f t="shared" ca="1" si="1"/>
        <v>45321</v>
      </c>
      <c r="C34" s="4" t="str">
        <f t="shared" ca="1" si="2"/>
        <v>2024-01</v>
      </c>
      <c r="D34" s="5">
        <f t="shared" ca="1" si="3"/>
        <v>0.72013888888888888</v>
      </c>
      <c r="E34" s="3" t="str" cm="1">
        <f t="array" aca="1" ref="E34" ca="1">INDEX(lista!$A$1:$A$12, RANDBETWEEN(1, 12))</f>
        <v>Santa Rosa</v>
      </c>
      <c r="F34" s="3" t="s">
        <v>24</v>
      </c>
      <c r="G34" s="3" t="str" cm="1">
        <f t="array" aca="1" ref="G34" ca="1">INDEX(lista!$B$1:$B$6, RANDBETWEEN(1, 6))</f>
        <v>Ascensor</v>
      </c>
      <c r="H34" s="3" t="str" cm="1">
        <f t="array" aca="1" ref="H34" ca="1">INDEX(lista!$C$1:$C$4, RANDBETWEEN(1, 4))</f>
        <v>Mantenimiento preventivo</v>
      </c>
      <c r="I34" s="3" t="str">
        <f t="shared" ca="1" si="4"/>
        <v>Media</v>
      </c>
      <c r="J34" s="3" t="str">
        <f t="shared" ca="1" si="5"/>
        <v>Atendida</v>
      </c>
      <c r="K34" s="4">
        <f t="shared" ca="1" si="6"/>
        <v>45322</v>
      </c>
      <c r="L34" s="1">
        <f t="shared" ca="1" si="7"/>
        <v>3</v>
      </c>
      <c r="M34" s="3" t="str">
        <f t="shared" ca="1" si="8"/>
        <v>Mantenimiento</v>
      </c>
    </row>
    <row r="35" spans="1:13" x14ac:dyDescent="0.3">
      <c r="A35" s="3">
        <f t="shared" si="0"/>
        <v>34</v>
      </c>
      <c r="B35" s="4">
        <f t="shared" ca="1" si="1"/>
        <v>45586</v>
      </c>
      <c r="C35" s="4" t="str">
        <f t="shared" ca="1" si="2"/>
        <v>2024-10</v>
      </c>
      <c r="D35" s="5">
        <f t="shared" ca="1" si="3"/>
        <v>0.56944444444444442</v>
      </c>
      <c r="E35" s="3" t="str" cm="1">
        <f t="array" aca="1" ref="E35" ca="1">INDEX(lista!$A$1:$A$12, RANDBETWEEN(1, 12))</f>
        <v>Angamos</v>
      </c>
      <c r="F35" s="3" t="s">
        <v>24</v>
      </c>
      <c r="G35" s="3" t="str" cm="1">
        <f t="array" aca="1" ref="G35" ca="1">INDEX(lista!$B$1:$B$6, RANDBETWEEN(1, 6))</f>
        <v>MET</v>
      </c>
      <c r="H35" s="3" t="str" cm="1">
        <f t="array" aca="1" ref="H35" ca="1">INDEX(lista!$C$1:$C$4, RANDBETWEEN(1, 4))</f>
        <v>Falla eléctrica</v>
      </c>
      <c r="I35" s="3" t="str">
        <f t="shared" ca="1" si="4"/>
        <v>Media</v>
      </c>
      <c r="J35" s="3" t="str">
        <f t="shared" ca="1" si="5"/>
        <v>En curso</v>
      </c>
      <c r="K35" s="4" t="str">
        <f t="shared" ca="1" si="6"/>
        <v/>
      </c>
      <c r="L35" s="1" t="str">
        <f t="shared" ca="1" si="7"/>
        <v/>
      </c>
      <c r="M35" s="3" t="str">
        <f t="shared" ca="1" si="8"/>
        <v>Telecomunicaciones</v>
      </c>
    </row>
    <row r="36" spans="1:13" x14ac:dyDescent="0.3">
      <c r="A36" s="3">
        <f t="shared" si="0"/>
        <v>35</v>
      </c>
      <c r="B36" s="4">
        <f t="shared" ca="1" si="1"/>
        <v>45312</v>
      </c>
      <c r="C36" s="4" t="str">
        <f t="shared" ca="1" si="2"/>
        <v>2024-01</v>
      </c>
      <c r="D36" s="5">
        <f t="shared" ca="1" si="3"/>
        <v>0.55208333333333326</v>
      </c>
      <c r="E36" s="3" t="str" cm="1">
        <f t="array" aca="1" ref="E36" ca="1">INDEX(lista!$A$1:$A$12, RANDBETWEEN(1, 12))</f>
        <v>Bayóvar</v>
      </c>
      <c r="F36" s="3" t="s">
        <v>24</v>
      </c>
      <c r="G36" s="3" t="str" cm="1">
        <f t="array" aca="1" ref="G36" ca="1">INDEX(lista!$B$1:$B$6, RANDBETWEEN(1, 6))</f>
        <v>TVM</v>
      </c>
      <c r="H36" s="3" t="str" cm="1">
        <f t="array" aca="1" ref="H36" ca="1">INDEX(lista!$C$1:$C$4, RANDBETWEEN(1, 4))</f>
        <v>Falla eléctrica</v>
      </c>
      <c r="I36" s="3" t="str">
        <f t="shared" ca="1" si="4"/>
        <v>Baja</v>
      </c>
      <c r="J36" s="3" t="str">
        <f t="shared" ca="1" si="5"/>
        <v>Atendida</v>
      </c>
      <c r="K36" s="4">
        <f t="shared" ca="1" si="6"/>
        <v>45313</v>
      </c>
      <c r="L36" s="1">
        <f t="shared" ca="1" si="7"/>
        <v>5</v>
      </c>
      <c r="M36" s="3" t="str">
        <f t="shared" ca="1" si="8"/>
        <v>Telecomunicaciones</v>
      </c>
    </row>
    <row r="37" spans="1:13" x14ac:dyDescent="0.3">
      <c r="A37" s="3">
        <f t="shared" si="0"/>
        <v>36</v>
      </c>
      <c r="B37" s="4">
        <f t="shared" ca="1" si="1"/>
        <v>45605</v>
      </c>
      <c r="C37" s="4" t="str">
        <f t="shared" ca="1" si="2"/>
        <v>2024-11</v>
      </c>
      <c r="D37" s="5">
        <f t="shared" ca="1" si="3"/>
        <v>0.30277777777777781</v>
      </c>
      <c r="E37" s="3" t="str" cm="1">
        <f t="array" aca="1" ref="E37" ca="1">INDEX(lista!$A$1:$A$12, RANDBETWEEN(1, 12))</f>
        <v>San Borja Sur</v>
      </c>
      <c r="F37" s="3" t="s">
        <v>24</v>
      </c>
      <c r="G37" s="3" t="str" cm="1">
        <f t="array" aca="1" ref="G37" ca="1">INDEX(lista!$B$1:$B$6, RANDBETWEEN(1, 6))</f>
        <v>Ascensor</v>
      </c>
      <c r="H37" s="3" t="str" cm="1">
        <f t="array" aca="1" ref="H37" ca="1">INDEX(lista!$C$1:$C$4, RANDBETWEEN(1, 4))</f>
        <v>Daño en infraestructura</v>
      </c>
      <c r="I37" s="3" t="str">
        <f t="shared" ca="1" si="4"/>
        <v>Baja</v>
      </c>
      <c r="J37" s="3" t="str">
        <f t="shared" ca="1" si="5"/>
        <v>Pendiente</v>
      </c>
      <c r="K37" s="4" t="str">
        <f t="shared" ca="1" si="6"/>
        <v/>
      </c>
      <c r="L37" s="1" t="str">
        <f t="shared" ca="1" si="7"/>
        <v/>
      </c>
      <c r="M37" s="3" t="str">
        <f t="shared" ca="1" si="8"/>
        <v>Mantenimiento</v>
      </c>
    </row>
    <row r="38" spans="1:13" x14ac:dyDescent="0.3">
      <c r="A38" s="3">
        <f t="shared" si="0"/>
        <v>37</v>
      </c>
      <c r="B38" s="4">
        <f t="shared" ca="1" si="1"/>
        <v>45007</v>
      </c>
      <c r="C38" s="4" t="str">
        <f t="shared" ca="1" si="2"/>
        <v>2023-03</v>
      </c>
      <c r="D38" s="5">
        <f t="shared" ca="1" si="3"/>
        <v>0.24375000000000002</v>
      </c>
      <c r="E38" s="3" t="str" cm="1">
        <f t="array" aca="1" ref="E38" ca="1">INDEX(lista!$A$1:$A$12, RANDBETWEEN(1, 12))</f>
        <v>San Borja Sur</v>
      </c>
      <c r="F38" s="3" t="s">
        <v>24</v>
      </c>
      <c r="G38" s="3" t="str" cm="1">
        <f t="array" aca="1" ref="G38" ca="1">INDEX(lista!$B$1:$B$6, RANDBETWEEN(1, 6))</f>
        <v>MET</v>
      </c>
      <c r="H38" s="3" t="str" cm="1">
        <f t="array" aca="1" ref="H38" ca="1">INDEX(lista!$C$1:$C$4, RANDBETWEEN(1, 4))</f>
        <v>Mantenimiento preventivo</v>
      </c>
      <c r="I38" s="3" t="str">
        <f t="shared" ca="1" si="4"/>
        <v>Media</v>
      </c>
      <c r="J38" s="3" t="str">
        <f t="shared" ca="1" si="5"/>
        <v>Atendida</v>
      </c>
      <c r="K38" s="4">
        <f t="shared" ca="1" si="6"/>
        <v>45008</v>
      </c>
      <c r="L38" s="1">
        <f t="shared" ca="1" si="7"/>
        <v>23</v>
      </c>
      <c r="M38" s="3" t="str">
        <f t="shared" ca="1" si="8"/>
        <v>Telecomunicaciones</v>
      </c>
    </row>
    <row r="39" spans="1:13" x14ac:dyDescent="0.3">
      <c r="A39" s="3">
        <f t="shared" si="0"/>
        <v>38</v>
      </c>
      <c r="B39" s="4">
        <f t="shared" ca="1" si="1"/>
        <v>45337</v>
      </c>
      <c r="C39" s="4" t="str">
        <f t="shared" ca="1" si="2"/>
        <v>2024-02</v>
      </c>
      <c r="D39" s="5">
        <f t="shared" ca="1" si="3"/>
        <v>0.13750000000000001</v>
      </c>
      <c r="E39" s="3" t="str" cm="1">
        <f t="array" aca="1" ref="E39" ca="1">INDEX(lista!$A$1:$A$12, RANDBETWEEN(1, 12))</f>
        <v>Gamarra</v>
      </c>
      <c r="F39" s="3" t="s">
        <v>24</v>
      </c>
      <c r="G39" s="3" t="str" cm="1">
        <f t="array" aca="1" ref="G39" ca="1">INDEX(lista!$B$1:$B$6, RANDBETWEEN(1, 6))</f>
        <v>MET</v>
      </c>
      <c r="H39" s="3" t="str" cm="1">
        <f t="array" aca="1" ref="H39" ca="1">INDEX(lista!$C$1:$C$4, RANDBETWEEN(1, 4))</f>
        <v>Daño en infraestructura</v>
      </c>
      <c r="I39" s="3" t="str">
        <f t="shared" ca="1" si="4"/>
        <v>Media</v>
      </c>
      <c r="J39" s="3" t="str">
        <f t="shared" ca="1" si="5"/>
        <v>Pendiente</v>
      </c>
      <c r="K39" s="4" t="str">
        <f t="shared" ca="1" si="6"/>
        <v/>
      </c>
      <c r="L39" s="1" t="str">
        <f t="shared" ca="1" si="7"/>
        <v/>
      </c>
      <c r="M39" s="3" t="str">
        <f t="shared" ca="1" si="8"/>
        <v>Telecomunicaciones</v>
      </c>
    </row>
    <row r="40" spans="1:13" x14ac:dyDescent="0.3">
      <c r="A40" s="3">
        <f t="shared" si="0"/>
        <v>39</v>
      </c>
      <c r="B40" s="4">
        <f t="shared" ca="1" si="1"/>
        <v>45036</v>
      </c>
      <c r="C40" s="4" t="str">
        <f t="shared" ca="1" si="2"/>
        <v>2023-04</v>
      </c>
      <c r="D40" s="5">
        <f t="shared" ca="1" si="3"/>
        <v>0.70972222222222225</v>
      </c>
      <c r="E40" s="3" t="str" cm="1">
        <f t="array" aca="1" ref="E40" ca="1">INDEX(lista!$A$1:$A$12, RANDBETWEEN(1, 12))</f>
        <v>Bayóvar</v>
      </c>
      <c r="F40" s="3" t="s">
        <v>24</v>
      </c>
      <c r="G40" s="3" t="str" cm="1">
        <f t="array" aca="1" ref="G40" ca="1">INDEX(lista!$B$1:$B$6, RANDBETWEEN(1, 6))</f>
        <v>Torniquete</v>
      </c>
      <c r="H40" s="3" t="str" cm="1">
        <f t="array" aca="1" ref="H40" ca="1">INDEX(lista!$C$1:$C$4, RANDBETWEEN(1, 4))</f>
        <v>Falla eléctrica</v>
      </c>
      <c r="I40" s="3" t="str">
        <f t="shared" ca="1" si="4"/>
        <v>Baja</v>
      </c>
      <c r="J40" s="3" t="str">
        <f t="shared" ca="1" si="5"/>
        <v>Pendiente</v>
      </c>
      <c r="K40" s="4" t="str">
        <f t="shared" ca="1" si="6"/>
        <v/>
      </c>
      <c r="L40" s="1" t="str">
        <f t="shared" ca="1" si="7"/>
        <v/>
      </c>
      <c r="M40" s="3" t="str">
        <f t="shared" ca="1" si="8"/>
        <v>Telecomunicaciones</v>
      </c>
    </row>
    <row r="41" spans="1:13" x14ac:dyDescent="0.3">
      <c r="A41" s="3">
        <f t="shared" si="0"/>
        <v>40</v>
      </c>
      <c r="B41" s="4">
        <f t="shared" ca="1" si="1"/>
        <v>45270</v>
      </c>
      <c r="C41" s="4" t="str">
        <f t="shared" ca="1" si="2"/>
        <v>2023-12</v>
      </c>
      <c r="D41" s="5">
        <f t="shared" ca="1" si="3"/>
        <v>0.66736111111111107</v>
      </c>
      <c r="E41" s="3" t="str" cm="1">
        <f t="array" aca="1" ref="E41" ca="1">INDEX(lista!$A$1:$A$12, RANDBETWEEN(1, 12))</f>
        <v>Angamos</v>
      </c>
      <c r="F41" s="3" t="s">
        <v>24</v>
      </c>
      <c r="G41" s="3" t="str" cm="1">
        <f t="array" aca="1" ref="G41" ca="1">INDEX(lista!$B$1:$B$6, RANDBETWEEN(1, 6))</f>
        <v>Ascensor</v>
      </c>
      <c r="H41" s="3" t="str" cm="1">
        <f t="array" aca="1" ref="H41" ca="1">INDEX(lista!$C$1:$C$4, RANDBETWEEN(1, 4))</f>
        <v>Falla eléctrica</v>
      </c>
      <c r="I41" s="3" t="str">
        <f t="shared" ca="1" si="4"/>
        <v>Media</v>
      </c>
      <c r="J41" s="3" t="str">
        <f t="shared" ca="1" si="5"/>
        <v>Atendida</v>
      </c>
      <c r="K41" s="4">
        <f t="shared" ca="1" si="6"/>
        <v>45270</v>
      </c>
      <c r="L41" s="1">
        <f t="shared" ca="1" si="7"/>
        <v>4</v>
      </c>
      <c r="M41" s="3" t="str">
        <f t="shared" ca="1" si="8"/>
        <v>Mantenimiento</v>
      </c>
    </row>
    <row r="42" spans="1:13" x14ac:dyDescent="0.3">
      <c r="A42" s="3">
        <f t="shared" si="0"/>
        <v>41</v>
      </c>
      <c r="B42" s="4">
        <f t="shared" ca="1" si="1"/>
        <v>44927</v>
      </c>
      <c r="C42" s="4" t="str">
        <f t="shared" ca="1" si="2"/>
        <v>2023-01</v>
      </c>
      <c r="D42" s="5">
        <f t="shared" ca="1" si="3"/>
        <v>0.57152777777777775</v>
      </c>
      <c r="E42" s="3" t="str" cm="1">
        <f t="array" aca="1" ref="E42" ca="1">INDEX(lista!$A$1:$A$12, RANDBETWEEN(1, 12))</f>
        <v>Pumacahua</v>
      </c>
      <c r="F42" s="3" t="s">
        <v>24</v>
      </c>
      <c r="G42" s="3" t="str" cm="1">
        <f t="array" aca="1" ref="G42" ca="1">INDEX(lista!$B$1:$B$6, RANDBETWEEN(1, 6))</f>
        <v>Radio</v>
      </c>
      <c r="H42" s="3" t="str" cm="1">
        <f t="array" aca="1" ref="H42" ca="1">INDEX(lista!$C$1:$C$4, RANDBETWEEN(1, 4))</f>
        <v>Daño en infraestructura</v>
      </c>
      <c r="I42" s="3" t="str">
        <f t="shared" ca="1" si="4"/>
        <v>Alta</v>
      </c>
      <c r="J42" s="3" t="str">
        <f t="shared" ca="1" si="5"/>
        <v>En curso</v>
      </c>
      <c r="K42" s="4" t="str">
        <f t="shared" ca="1" si="6"/>
        <v/>
      </c>
      <c r="L42" s="1" t="str">
        <f t="shared" ca="1" si="7"/>
        <v/>
      </c>
      <c r="M42" s="3" t="str">
        <f t="shared" ca="1" si="8"/>
        <v>Telecomunicaciones</v>
      </c>
    </row>
    <row r="43" spans="1:13" x14ac:dyDescent="0.3">
      <c r="A43" s="3">
        <f t="shared" si="0"/>
        <v>42</v>
      </c>
      <c r="B43" s="4">
        <f t="shared" ca="1" si="1"/>
        <v>45377</v>
      </c>
      <c r="C43" s="4" t="str">
        <f t="shared" ca="1" si="2"/>
        <v>2024-03</v>
      </c>
      <c r="D43" s="5">
        <f t="shared" ca="1" si="3"/>
        <v>0.45208333333333334</v>
      </c>
      <c r="E43" s="3" t="str" cm="1">
        <f t="array" aca="1" ref="E43" ca="1">INDEX(lista!$A$1:$A$12, RANDBETWEEN(1, 12))</f>
        <v>Atocongo</v>
      </c>
      <c r="F43" s="3" t="s">
        <v>24</v>
      </c>
      <c r="G43" s="3" t="str" cm="1">
        <f t="array" aca="1" ref="G43" ca="1">INDEX(lista!$B$1:$B$6, RANDBETWEEN(1, 6))</f>
        <v>Radio</v>
      </c>
      <c r="H43" s="3" t="str" cm="1">
        <f t="array" aca="1" ref="H43" ca="1">INDEX(lista!$C$1:$C$4, RANDBETWEEN(1, 4))</f>
        <v>Falla eléctrica</v>
      </c>
      <c r="I43" s="3" t="str">
        <f t="shared" ca="1" si="4"/>
        <v>Baja</v>
      </c>
      <c r="J43" s="3" t="str">
        <f t="shared" ca="1" si="5"/>
        <v>Atendida</v>
      </c>
      <c r="K43" s="4">
        <f t="shared" ca="1" si="6"/>
        <v>45377</v>
      </c>
      <c r="L43" s="1">
        <f t="shared" ca="1" si="7"/>
        <v>4</v>
      </c>
      <c r="M43" s="3" t="str">
        <f t="shared" ca="1" si="8"/>
        <v>Telecomunicaciones</v>
      </c>
    </row>
    <row r="44" spans="1:13" x14ac:dyDescent="0.3">
      <c r="A44" s="3">
        <f t="shared" si="0"/>
        <v>43</v>
      </c>
      <c r="B44" s="4">
        <f t="shared" ca="1" si="1"/>
        <v>45012</v>
      </c>
      <c r="C44" s="4" t="str">
        <f t="shared" ca="1" si="2"/>
        <v>2023-03</v>
      </c>
      <c r="D44" s="5">
        <f t="shared" ca="1" si="3"/>
        <v>0.18124999999999999</v>
      </c>
      <c r="E44" s="3" t="str" cm="1">
        <f t="array" aca="1" ref="E44" ca="1">INDEX(lista!$A$1:$A$12, RANDBETWEEN(1, 12))</f>
        <v>Pumacahua</v>
      </c>
      <c r="F44" s="3" t="s">
        <v>24</v>
      </c>
      <c r="G44" s="3" t="str" cm="1">
        <f t="array" aca="1" ref="G44" ca="1">INDEX(lista!$B$1:$B$6, RANDBETWEEN(1, 6))</f>
        <v>Ascensor</v>
      </c>
      <c r="H44" s="3" t="str" cm="1">
        <f t="array" aca="1" ref="H44" ca="1">INDEX(lista!$C$1:$C$4, RANDBETWEEN(1, 4))</f>
        <v>Mantenimiento preventivo</v>
      </c>
      <c r="I44" s="3" t="str">
        <f t="shared" ca="1" si="4"/>
        <v>Media</v>
      </c>
      <c r="J44" s="3" t="str">
        <f t="shared" ca="1" si="5"/>
        <v>Atendida</v>
      </c>
      <c r="K44" s="4">
        <f t="shared" ca="1" si="6"/>
        <v>45012</v>
      </c>
      <c r="L44" s="1">
        <f t="shared" ca="1" si="7"/>
        <v>18</v>
      </c>
      <c r="M44" s="3" t="str">
        <f t="shared" ca="1" si="8"/>
        <v>Mantenimiento</v>
      </c>
    </row>
    <row r="45" spans="1:13" x14ac:dyDescent="0.3">
      <c r="A45" s="3">
        <f t="shared" si="0"/>
        <v>44</v>
      </c>
      <c r="B45" s="4">
        <f t="shared" ca="1" si="1"/>
        <v>45058</v>
      </c>
      <c r="C45" s="4" t="str">
        <f t="shared" ca="1" si="2"/>
        <v>2023-05</v>
      </c>
      <c r="D45" s="5">
        <f t="shared" ca="1" si="3"/>
        <v>0.26319444444444445</v>
      </c>
      <c r="E45" s="3" t="str" cm="1">
        <f t="array" aca="1" ref="E45" ca="1">INDEX(lista!$A$1:$A$12, RANDBETWEEN(1, 12))</f>
        <v>Ayacucho</v>
      </c>
      <c r="F45" s="3" t="s">
        <v>24</v>
      </c>
      <c r="G45" s="3" t="str" cm="1">
        <f t="array" aca="1" ref="G45" ca="1">INDEX(lista!$B$1:$B$6, RANDBETWEEN(1, 6))</f>
        <v>Ascensor</v>
      </c>
      <c r="H45" s="3" t="str" cm="1">
        <f t="array" aca="1" ref="H45" ca="1">INDEX(lista!$C$1:$C$4, RANDBETWEEN(1, 4))</f>
        <v>Mantenimiento preventivo</v>
      </c>
      <c r="I45" s="3" t="str">
        <f t="shared" ca="1" si="4"/>
        <v>Media</v>
      </c>
      <c r="J45" s="3" t="str">
        <f t="shared" ca="1" si="5"/>
        <v>Pendiente</v>
      </c>
      <c r="K45" s="4" t="str">
        <f t="shared" ca="1" si="6"/>
        <v/>
      </c>
      <c r="L45" s="1" t="str">
        <f t="shared" ca="1" si="7"/>
        <v/>
      </c>
      <c r="M45" s="3" t="str">
        <f t="shared" ca="1" si="8"/>
        <v>Mantenimiento</v>
      </c>
    </row>
    <row r="46" spans="1:13" x14ac:dyDescent="0.3">
      <c r="A46" s="3">
        <f t="shared" si="0"/>
        <v>45</v>
      </c>
      <c r="B46" s="4">
        <f t="shared" ca="1" si="1"/>
        <v>45487</v>
      </c>
      <c r="C46" s="4" t="str">
        <f t="shared" ca="1" si="2"/>
        <v>2024-07</v>
      </c>
      <c r="D46" s="5">
        <f t="shared" ca="1" si="3"/>
        <v>0.38333333333333336</v>
      </c>
      <c r="E46" s="3" t="str" cm="1">
        <f t="array" aca="1" ref="E46" ca="1">INDEX(lista!$A$1:$A$12, RANDBETWEEN(1, 12))</f>
        <v>Santa Rosa</v>
      </c>
      <c r="F46" s="3" t="s">
        <v>24</v>
      </c>
      <c r="G46" s="3" t="str" cm="1">
        <f t="array" aca="1" ref="G46" ca="1">INDEX(lista!$B$1:$B$6, RANDBETWEEN(1, 6))</f>
        <v>Radio</v>
      </c>
      <c r="H46" s="3" t="str" cm="1">
        <f t="array" aca="1" ref="H46" ca="1">INDEX(lista!$C$1:$C$4, RANDBETWEEN(1, 4))</f>
        <v>Daño en infraestructura</v>
      </c>
      <c r="I46" s="3" t="str">
        <f t="shared" ca="1" si="4"/>
        <v>Media</v>
      </c>
      <c r="J46" s="3" t="str">
        <f t="shared" ca="1" si="5"/>
        <v>En curso</v>
      </c>
      <c r="K46" s="4" t="str">
        <f t="shared" ca="1" si="6"/>
        <v/>
      </c>
      <c r="L46" s="1" t="str">
        <f t="shared" ca="1" si="7"/>
        <v/>
      </c>
      <c r="M46" s="3" t="str">
        <f t="shared" ca="1" si="8"/>
        <v>Telecomunicaciones</v>
      </c>
    </row>
    <row r="47" spans="1:13" x14ac:dyDescent="0.3">
      <c r="A47" s="3">
        <f t="shared" si="0"/>
        <v>46</v>
      </c>
      <c r="B47" s="4">
        <f t="shared" ca="1" si="1"/>
        <v>44964</v>
      </c>
      <c r="C47" s="4" t="str">
        <f t="shared" ca="1" si="2"/>
        <v>2023-02</v>
      </c>
      <c r="D47" s="5">
        <f t="shared" ca="1" si="3"/>
        <v>0.93194444444444435</v>
      </c>
      <c r="E47" s="3" t="str" cm="1">
        <f t="array" aca="1" ref="E47" ca="1">INDEX(lista!$A$1:$A$12, RANDBETWEEN(1, 12))</f>
        <v>Atocongo</v>
      </c>
      <c r="F47" s="3" t="s">
        <v>24</v>
      </c>
      <c r="G47" s="3" t="str" cm="1">
        <f t="array" aca="1" ref="G47" ca="1">INDEX(lista!$B$1:$B$6, RANDBETWEEN(1, 6))</f>
        <v>MET</v>
      </c>
      <c r="H47" s="3" t="str" cm="1">
        <f t="array" aca="1" ref="H47" ca="1">INDEX(lista!$C$1:$C$4, RANDBETWEEN(1, 4))</f>
        <v>Mantenimiento preventivo</v>
      </c>
      <c r="I47" s="3" t="str">
        <f t="shared" ca="1" si="4"/>
        <v>Media</v>
      </c>
      <c r="J47" s="3" t="str">
        <f t="shared" ca="1" si="5"/>
        <v>Atendida</v>
      </c>
      <c r="K47" s="4">
        <f t="shared" ca="1" si="6"/>
        <v>44964</v>
      </c>
      <c r="L47" s="1">
        <f t="shared" ca="1" si="7"/>
        <v>17</v>
      </c>
      <c r="M47" s="3" t="str">
        <f t="shared" ca="1" si="8"/>
        <v>Telecomunicaciones</v>
      </c>
    </row>
    <row r="48" spans="1:13" x14ac:dyDescent="0.3">
      <c r="A48" s="3">
        <f t="shared" si="0"/>
        <v>47</v>
      </c>
      <c r="B48" s="4">
        <f t="shared" ca="1" si="1"/>
        <v>45163</v>
      </c>
      <c r="C48" s="4" t="str">
        <f t="shared" ca="1" si="2"/>
        <v>2023-08</v>
      </c>
      <c r="D48" s="5">
        <f t="shared" ca="1" si="3"/>
        <v>0.59027777777777779</v>
      </c>
      <c r="E48" s="3" t="str" cm="1">
        <f t="array" aca="1" ref="E48" ca="1">INDEX(lista!$A$1:$A$12, RANDBETWEEN(1, 12))</f>
        <v>Angamos</v>
      </c>
      <c r="F48" s="3" t="s">
        <v>24</v>
      </c>
      <c r="G48" s="3" t="str" cm="1">
        <f t="array" aca="1" ref="G48" ca="1">INDEX(lista!$B$1:$B$6, RANDBETWEEN(1, 6))</f>
        <v>Ascensor</v>
      </c>
      <c r="H48" s="3" t="str" cm="1">
        <f t="array" aca="1" ref="H48" ca="1">INDEX(lista!$C$1:$C$4, RANDBETWEEN(1, 4))</f>
        <v>Falla eléctrica</v>
      </c>
      <c r="I48" s="3" t="str">
        <f t="shared" ca="1" si="4"/>
        <v>Baja</v>
      </c>
      <c r="J48" s="3" t="str">
        <f t="shared" ca="1" si="5"/>
        <v>En curso</v>
      </c>
      <c r="K48" s="4" t="str">
        <f t="shared" ca="1" si="6"/>
        <v/>
      </c>
      <c r="L48" s="1" t="str">
        <f t="shared" ca="1" si="7"/>
        <v/>
      </c>
      <c r="M48" s="3" t="str">
        <f t="shared" ca="1" si="8"/>
        <v>Mantenimiento</v>
      </c>
    </row>
    <row r="49" spans="1:13" x14ac:dyDescent="0.3">
      <c r="A49" s="3">
        <f t="shared" si="0"/>
        <v>48</v>
      </c>
      <c r="B49" s="4">
        <f t="shared" ca="1" si="1"/>
        <v>45362</v>
      </c>
      <c r="C49" s="4" t="str">
        <f t="shared" ca="1" si="2"/>
        <v>2024-03</v>
      </c>
      <c r="D49" s="5">
        <f t="shared" ca="1" si="3"/>
        <v>0.72777777777777786</v>
      </c>
      <c r="E49" s="3" t="str" cm="1">
        <f t="array" aca="1" ref="E49" ca="1">INDEX(lista!$A$1:$A$12, RANDBETWEEN(1, 12))</f>
        <v>San Borja Sur</v>
      </c>
      <c r="F49" s="3" t="s">
        <v>24</v>
      </c>
      <c r="G49" s="3" t="str" cm="1">
        <f t="array" aca="1" ref="G49" ca="1">INDEX(lista!$B$1:$B$6, RANDBETWEEN(1, 6))</f>
        <v>Ascensor</v>
      </c>
      <c r="H49" s="3" t="str" cm="1">
        <f t="array" aca="1" ref="H49" ca="1">INDEX(lista!$C$1:$C$4, RANDBETWEEN(1, 4))</f>
        <v>Daño en infraestructura</v>
      </c>
      <c r="I49" s="3" t="str">
        <f t="shared" ca="1" si="4"/>
        <v>Media</v>
      </c>
      <c r="J49" s="3" t="str">
        <f t="shared" ca="1" si="5"/>
        <v>En curso</v>
      </c>
      <c r="K49" s="4" t="str">
        <f t="shared" ca="1" si="6"/>
        <v/>
      </c>
      <c r="L49" s="1" t="str">
        <f t="shared" ca="1" si="7"/>
        <v/>
      </c>
      <c r="M49" s="3" t="str">
        <f t="shared" ca="1" si="8"/>
        <v>Mantenimiento</v>
      </c>
    </row>
    <row r="50" spans="1:13" x14ac:dyDescent="0.3">
      <c r="A50" s="3">
        <f t="shared" si="0"/>
        <v>49</v>
      </c>
      <c r="B50" s="4">
        <f t="shared" ca="1" si="1"/>
        <v>45112</v>
      </c>
      <c r="C50" s="4" t="str">
        <f t="shared" ca="1" si="2"/>
        <v>2023-07</v>
      </c>
      <c r="D50" s="5">
        <f t="shared" ca="1" si="3"/>
        <v>0.20833333333333334</v>
      </c>
      <c r="E50" s="3" t="str" cm="1">
        <f t="array" aca="1" ref="E50" ca="1">INDEX(lista!$A$1:$A$12, RANDBETWEEN(1, 12))</f>
        <v>Ayacucho</v>
      </c>
      <c r="F50" s="3" t="s">
        <v>24</v>
      </c>
      <c r="G50" s="3" t="str" cm="1">
        <f t="array" aca="1" ref="G50" ca="1">INDEX(lista!$B$1:$B$6, RANDBETWEEN(1, 6))</f>
        <v>Escalera eléctrica</v>
      </c>
      <c r="H50" s="3" t="str" cm="1">
        <f t="array" aca="1" ref="H50" ca="1">INDEX(lista!$C$1:$C$4, RANDBETWEEN(1, 4))</f>
        <v>Daño en infraestructura</v>
      </c>
      <c r="I50" s="3" t="str">
        <f t="shared" ca="1" si="4"/>
        <v>Alta</v>
      </c>
      <c r="J50" s="3" t="str">
        <f t="shared" ca="1" si="5"/>
        <v>En curso</v>
      </c>
      <c r="K50" s="4" t="str">
        <f t="shared" ca="1" si="6"/>
        <v/>
      </c>
      <c r="L50" s="1" t="str">
        <f t="shared" ca="1" si="7"/>
        <v/>
      </c>
      <c r="M50" s="3" t="str">
        <f t="shared" ca="1" si="8"/>
        <v>Mantenimiento</v>
      </c>
    </row>
    <row r="51" spans="1:13" x14ac:dyDescent="0.3">
      <c r="A51" s="3">
        <f t="shared" si="0"/>
        <v>50</v>
      </c>
      <c r="B51" s="4">
        <f t="shared" ca="1" si="1"/>
        <v>45045</v>
      </c>
      <c r="C51" s="4" t="str">
        <f t="shared" ca="1" si="2"/>
        <v>2023-04</v>
      </c>
      <c r="D51" s="5">
        <f t="shared" ca="1" si="3"/>
        <v>4.1666666666666664E-2</v>
      </c>
      <c r="E51" s="3" t="str" cm="1">
        <f t="array" aca="1" ref="E51" ca="1">INDEX(lista!$A$1:$A$12, RANDBETWEEN(1, 12))</f>
        <v>Gamarra</v>
      </c>
      <c r="F51" s="3" t="s">
        <v>24</v>
      </c>
      <c r="G51" s="3" t="str" cm="1">
        <f t="array" aca="1" ref="G51" ca="1">INDEX(lista!$B$1:$B$6, RANDBETWEEN(1, 6))</f>
        <v>Radio</v>
      </c>
      <c r="H51" s="3" t="str" cm="1">
        <f t="array" aca="1" ref="H51" ca="1">INDEX(lista!$C$1:$C$4, RANDBETWEEN(1, 4))</f>
        <v>Mantenimiento preventivo</v>
      </c>
      <c r="I51" s="3" t="str">
        <f t="shared" ca="1" si="4"/>
        <v>Media</v>
      </c>
      <c r="J51" s="3" t="str">
        <f t="shared" ca="1" si="5"/>
        <v>Atendida</v>
      </c>
      <c r="K51" s="4">
        <f t="shared" ca="1" si="6"/>
        <v>45047</v>
      </c>
      <c r="L51" s="1">
        <f t="shared" ca="1" si="7"/>
        <v>16</v>
      </c>
      <c r="M51" s="3" t="str">
        <f t="shared" ca="1" si="8"/>
        <v>Telecomunicaciones</v>
      </c>
    </row>
    <row r="52" spans="1:13" x14ac:dyDescent="0.3">
      <c r="A52" s="3">
        <f t="shared" si="0"/>
        <v>51</v>
      </c>
      <c r="B52" s="4">
        <f t="shared" ca="1" si="1"/>
        <v>45192</v>
      </c>
      <c r="C52" s="4" t="str">
        <f t="shared" ca="1" si="2"/>
        <v>2023-09</v>
      </c>
      <c r="D52" s="5">
        <f t="shared" ca="1" si="3"/>
        <v>2.4305555555555556E-2</v>
      </c>
      <c r="E52" s="3" t="str" cm="1">
        <f t="array" aca="1" ref="E52" ca="1">INDEX(lista!$A$1:$A$12, RANDBETWEEN(1, 12))</f>
        <v>La Cultura</v>
      </c>
      <c r="F52" s="3" t="s">
        <v>24</v>
      </c>
      <c r="G52" s="3" t="str" cm="1">
        <f t="array" aca="1" ref="G52" ca="1">INDEX(lista!$B$1:$B$6, RANDBETWEEN(1, 6))</f>
        <v>TVM</v>
      </c>
      <c r="H52" s="3" t="str" cm="1">
        <f t="array" aca="1" ref="H52" ca="1">INDEX(lista!$C$1:$C$4, RANDBETWEEN(1, 4))</f>
        <v>Falla eléctrica</v>
      </c>
      <c r="I52" s="3" t="str">
        <f t="shared" ca="1" si="4"/>
        <v>Alta</v>
      </c>
      <c r="J52" s="3" t="str">
        <f t="shared" ca="1" si="5"/>
        <v>Pendiente</v>
      </c>
      <c r="K52" s="4" t="str">
        <f t="shared" ca="1" si="6"/>
        <v/>
      </c>
      <c r="L52" s="1" t="str">
        <f t="shared" ca="1" si="7"/>
        <v/>
      </c>
      <c r="M52" s="3" t="str">
        <f t="shared" ca="1" si="8"/>
        <v>Telecomunicaciones</v>
      </c>
    </row>
    <row r="53" spans="1:13" x14ac:dyDescent="0.3">
      <c r="A53" s="3">
        <f t="shared" si="0"/>
        <v>52</v>
      </c>
      <c r="B53" s="4">
        <f t="shared" ca="1" si="1"/>
        <v>45108</v>
      </c>
      <c r="C53" s="4" t="str">
        <f t="shared" ca="1" si="2"/>
        <v>2023-07</v>
      </c>
      <c r="D53" s="5">
        <f t="shared" ca="1" si="3"/>
        <v>0.47777777777777775</v>
      </c>
      <c r="E53" s="3" t="str" cm="1">
        <f t="array" aca="1" ref="E53" ca="1">INDEX(lista!$A$1:$A$12, RANDBETWEEN(1, 12))</f>
        <v>Bayóvar</v>
      </c>
      <c r="F53" s="3" t="s">
        <v>24</v>
      </c>
      <c r="G53" s="3" t="str" cm="1">
        <f t="array" aca="1" ref="G53" ca="1">INDEX(lista!$B$1:$B$6, RANDBETWEEN(1, 6))</f>
        <v>Torniquete</v>
      </c>
      <c r="H53" s="3" t="str" cm="1">
        <f t="array" aca="1" ref="H53" ca="1">INDEX(lista!$C$1:$C$4, RANDBETWEEN(1, 4))</f>
        <v>Daño en infraestructura</v>
      </c>
      <c r="I53" s="3" t="str">
        <f t="shared" ca="1" si="4"/>
        <v>Alta</v>
      </c>
      <c r="J53" s="3" t="str">
        <f t="shared" ca="1" si="5"/>
        <v>Atendida</v>
      </c>
      <c r="K53" s="4">
        <f t="shared" ca="1" si="6"/>
        <v>45109</v>
      </c>
      <c r="L53" s="1">
        <f t="shared" ca="1" si="7"/>
        <v>8</v>
      </c>
      <c r="M53" s="3" t="str">
        <f t="shared" ca="1" si="8"/>
        <v>Telecomunicaciones</v>
      </c>
    </row>
    <row r="54" spans="1:13" x14ac:dyDescent="0.3">
      <c r="A54" s="3">
        <f t="shared" si="0"/>
        <v>53</v>
      </c>
      <c r="B54" s="4">
        <f t="shared" ca="1" si="1"/>
        <v>45078</v>
      </c>
      <c r="C54" s="4" t="str">
        <f t="shared" ca="1" si="2"/>
        <v>2023-06</v>
      </c>
      <c r="D54" s="5">
        <f t="shared" ca="1" si="3"/>
        <v>0.58055555555555549</v>
      </c>
      <c r="E54" s="3" t="str" cm="1">
        <f t="array" aca="1" ref="E54" ca="1">INDEX(lista!$A$1:$A$12, RANDBETWEEN(1, 12))</f>
        <v>San Carlos</v>
      </c>
      <c r="F54" s="3" t="s">
        <v>24</v>
      </c>
      <c r="G54" s="3" t="str" cm="1">
        <f t="array" aca="1" ref="G54" ca="1">INDEX(lista!$B$1:$B$6, RANDBETWEEN(1, 6))</f>
        <v>Radio</v>
      </c>
      <c r="H54" s="3" t="str" cm="1">
        <f t="array" aca="1" ref="H54" ca="1">INDEX(lista!$C$1:$C$4, RANDBETWEEN(1, 4))</f>
        <v>Daño en infraestructura</v>
      </c>
      <c r="I54" s="3" t="str">
        <f t="shared" ca="1" si="4"/>
        <v>Baja</v>
      </c>
      <c r="J54" s="3" t="str">
        <f t="shared" ca="1" si="5"/>
        <v>Atendida</v>
      </c>
      <c r="K54" s="4">
        <f t="shared" ca="1" si="6"/>
        <v>45079</v>
      </c>
      <c r="L54" s="1">
        <f t="shared" ca="1" si="7"/>
        <v>23</v>
      </c>
      <c r="M54" s="3" t="str">
        <f t="shared" ca="1" si="8"/>
        <v>Telecomunicaciones</v>
      </c>
    </row>
    <row r="55" spans="1:13" x14ac:dyDescent="0.3">
      <c r="A55" s="3">
        <f t="shared" si="0"/>
        <v>54</v>
      </c>
      <c r="B55" s="4">
        <f t="shared" ca="1" si="1"/>
        <v>45163</v>
      </c>
      <c r="C55" s="4" t="str">
        <f t="shared" ca="1" si="2"/>
        <v>2023-08</v>
      </c>
      <c r="D55" s="5">
        <f t="shared" ca="1" si="3"/>
        <v>0.2277777777777778</v>
      </c>
      <c r="E55" s="3" t="str" cm="1">
        <f t="array" aca="1" ref="E55" ca="1">INDEX(lista!$A$1:$A$12, RANDBETWEEN(1, 12))</f>
        <v>Bayóvar</v>
      </c>
      <c r="F55" s="3" t="s">
        <v>24</v>
      </c>
      <c r="G55" s="3" t="str" cm="1">
        <f t="array" aca="1" ref="G55" ca="1">INDEX(lista!$B$1:$B$6, RANDBETWEEN(1, 6))</f>
        <v>TVM</v>
      </c>
      <c r="H55" s="3" t="str" cm="1">
        <f t="array" aca="1" ref="H55" ca="1">INDEX(lista!$C$1:$C$4, RANDBETWEEN(1, 4))</f>
        <v>Falla mecánica</v>
      </c>
      <c r="I55" s="3" t="str">
        <f t="shared" ca="1" si="4"/>
        <v>Media</v>
      </c>
      <c r="J55" s="3" t="str">
        <f t="shared" ca="1" si="5"/>
        <v>Atendida</v>
      </c>
      <c r="K55" s="4">
        <f t="shared" ca="1" si="6"/>
        <v>45163</v>
      </c>
      <c r="L55" s="1">
        <f t="shared" ca="1" si="7"/>
        <v>5</v>
      </c>
      <c r="M55" s="3" t="str">
        <f t="shared" ca="1" si="8"/>
        <v>Telecomunicaciones</v>
      </c>
    </row>
    <row r="56" spans="1:13" x14ac:dyDescent="0.3">
      <c r="A56" s="3">
        <f t="shared" si="0"/>
        <v>55</v>
      </c>
      <c r="B56" s="4">
        <f t="shared" ca="1" si="1"/>
        <v>45414</v>
      </c>
      <c r="C56" s="4" t="str">
        <f t="shared" ca="1" si="2"/>
        <v>2024-05</v>
      </c>
      <c r="D56" s="5">
        <f t="shared" ca="1" si="3"/>
        <v>0.75694444444444442</v>
      </c>
      <c r="E56" s="3" t="str" cm="1">
        <f t="array" aca="1" ref="E56" ca="1">INDEX(lista!$A$1:$A$12, RANDBETWEEN(1, 12))</f>
        <v>Gamarra</v>
      </c>
      <c r="F56" s="3" t="s">
        <v>24</v>
      </c>
      <c r="G56" s="3" t="str" cm="1">
        <f t="array" aca="1" ref="G56" ca="1">INDEX(lista!$B$1:$B$6, RANDBETWEEN(1, 6))</f>
        <v>TVM</v>
      </c>
      <c r="H56" s="3" t="str" cm="1">
        <f t="array" aca="1" ref="H56" ca="1">INDEX(lista!$C$1:$C$4, RANDBETWEEN(1, 4))</f>
        <v>Daño en infraestructura</v>
      </c>
      <c r="I56" s="3" t="str">
        <f t="shared" ca="1" si="4"/>
        <v>Media</v>
      </c>
      <c r="J56" s="3" t="str">
        <f t="shared" ca="1" si="5"/>
        <v>En curso</v>
      </c>
      <c r="K56" s="4" t="str">
        <f t="shared" ca="1" si="6"/>
        <v/>
      </c>
      <c r="L56" s="1" t="str">
        <f t="shared" ca="1" si="7"/>
        <v/>
      </c>
      <c r="M56" s="3" t="str">
        <f t="shared" ca="1" si="8"/>
        <v>Telecomunicaciones</v>
      </c>
    </row>
    <row r="57" spans="1:13" x14ac:dyDescent="0.3">
      <c r="A57" s="3">
        <f t="shared" si="0"/>
        <v>56</v>
      </c>
      <c r="B57" s="4">
        <f t="shared" ca="1" si="1"/>
        <v>45002</v>
      </c>
      <c r="C57" s="4" t="str">
        <f t="shared" ca="1" si="2"/>
        <v>2023-03</v>
      </c>
      <c r="D57" s="5">
        <f t="shared" ca="1" si="3"/>
        <v>0.69861111111111107</v>
      </c>
      <c r="E57" s="3" t="str" cm="1">
        <f t="array" aca="1" ref="E57" ca="1">INDEX(lista!$A$1:$A$12, RANDBETWEEN(1, 12))</f>
        <v>Cabitos</v>
      </c>
      <c r="F57" s="3" t="s">
        <v>24</v>
      </c>
      <c r="G57" s="3" t="str" cm="1">
        <f t="array" aca="1" ref="G57" ca="1">INDEX(lista!$B$1:$B$6, RANDBETWEEN(1, 6))</f>
        <v>TVM</v>
      </c>
      <c r="H57" s="3" t="str" cm="1">
        <f t="array" aca="1" ref="H57" ca="1">INDEX(lista!$C$1:$C$4, RANDBETWEEN(1, 4))</f>
        <v>Mantenimiento preventivo</v>
      </c>
      <c r="I57" s="3" t="str">
        <f t="shared" ca="1" si="4"/>
        <v>Media</v>
      </c>
      <c r="J57" s="3" t="str">
        <f t="shared" ca="1" si="5"/>
        <v>En curso</v>
      </c>
      <c r="K57" s="4" t="str">
        <f t="shared" ca="1" si="6"/>
        <v/>
      </c>
      <c r="L57" s="1" t="str">
        <f t="shared" ca="1" si="7"/>
        <v/>
      </c>
      <c r="M57" s="3" t="str">
        <f t="shared" ca="1" si="8"/>
        <v>Telecomunicaciones</v>
      </c>
    </row>
    <row r="58" spans="1:13" x14ac:dyDescent="0.3">
      <c r="A58" s="3">
        <f t="shared" si="0"/>
        <v>57</v>
      </c>
      <c r="B58" s="4">
        <f t="shared" ca="1" si="1"/>
        <v>45626</v>
      </c>
      <c r="C58" s="4" t="str">
        <f t="shared" ca="1" si="2"/>
        <v>2024-11</v>
      </c>
      <c r="D58" s="5">
        <f t="shared" ca="1" si="3"/>
        <v>0.89236111111111116</v>
      </c>
      <c r="E58" s="3" t="str" cm="1">
        <f t="array" aca="1" ref="E58" ca="1">INDEX(lista!$A$1:$A$12, RANDBETWEEN(1, 12))</f>
        <v>Cabitos</v>
      </c>
      <c r="F58" s="3" t="s">
        <v>24</v>
      </c>
      <c r="G58" s="3" t="str" cm="1">
        <f t="array" aca="1" ref="G58" ca="1">INDEX(lista!$B$1:$B$6, RANDBETWEEN(1, 6))</f>
        <v>Escalera eléctrica</v>
      </c>
      <c r="H58" s="3" t="str" cm="1">
        <f t="array" aca="1" ref="H58" ca="1">INDEX(lista!$C$1:$C$4, RANDBETWEEN(1, 4))</f>
        <v>Falla eléctrica</v>
      </c>
      <c r="I58" s="3" t="str">
        <f t="shared" ca="1" si="4"/>
        <v>Baja</v>
      </c>
      <c r="J58" s="3" t="str">
        <f t="shared" ca="1" si="5"/>
        <v>En curso</v>
      </c>
      <c r="K58" s="4" t="str">
        <f t="shared" ca="1" si="6"/>
        <v/>
      </c>
      <c r="L58" s="1" t="str">
        <f t="shared" ca="1" si="7"/>
        <v/>
      </c>
      <c r="M58" s="3" t="str">
        <f t="shared" ca="1" si="8"/>
        <v>Mantenimiento</v>
      </c>
    </row>
    <row r="59" spans="1:13" x14ac:dyDescent="0.3">
      <c r="A59" s="3">
        <f t="shared" si="0"/>
        <v>58</v>
      </c>
      <c r="B59" s="4">
        <f t="shared" ca="1" si="1"/>
        <v>44968</v>
      </c>
      <c r="C59" s="4" t="str">
        <f t="shared" ca="1" si="2"/>
        <v>2023-02</v>
      </c>
      <c r="D59" s="5">
        <f t="shared" ca="1" si="3"/>
        <v>0.3125</v>
      </c>
      <c r="E59" s="3" t="str" cm="1">
        <f t="array" aca="1" ref="E59" ca="1">INDEX(lista!$A$1:$A$12, RANDBETWEEN(1, 12))</f>
        <v>Santa Rosa</v>
      </c>
      <c r="F59" s="3" t="s">
        <v>24</v>
      </c>
      <c r="G59" s="3" t="str" cm="1">
        <f t="array" aca="1" ref="G59" ca="1">INDEX(lista!$B$1:$B$6, RANDBETWEEN(1, 6))</f>
        <v>Escalera eléctrica</v>
      </c>
      <c r="H59" s="3" t="str" cm="1">
        <f t="array" aca="1" ref="H59" ca="1">INDEX(lista!$C$1:$C$4, RANDBETWEEN(1, 4))</f>
        <v>Mantenimiento preventivo</v>
      </c>
      <c r="I59" s="3" t="str">
        <f t="shared" ca="1" si="4"/>
        <v>Media</v>
      </c>
      <c r="J59" s="3" t="str">
        <f t="shared" ca="1" si="5"/>
        <v>En curso</v>
      </c>
      <c r="K59" s="4" t="str">
        <f t="shared" ca="1" si="6"/>
        <v/>
      </c>
      <c r="L59" s="1" t="str">
        <f t="shared" ca="1" si="7"/>
        <v/>
      </c>
      <c r="M59" s="3" t="str">
        <f t="shared" ca="1" si="8"/>
        <v>Mantenimiento</v>
      </c>
    </row>
    <row r="60" spans="1:13" x14ac:dyDescent="0.3">
      <c r="A60" s="3">
        <f t="shared" si="0"/>
        <v>59</v>
      </c>
      <c r="B60" s="4">
        <f t="shared" ca="1" si="1"/>
        <v>45368</v>
      </c>
      <c r="C60" s="4" t="str">
        <f t="shared" ca="1" si="2"/>
        <v>2024-03</v>
      </c>
      <c r="D60" s="5">
        <f t="shared" ca="1" si="3"/>
        <v>0.78611111111111109</v>
      </c>
      <c r="E60" s="3" t="str" cm="1">
        <f t="array" aca="1" ref="E60" ca="1">INDEX(lista!$A$1:$A$12, RANDBETWEEN(1, 12))</f>
        <v>Angamos</v>
      </c>
      <c r="F60" s="3" t="s">
        <v>24</v>
      </c>
      <c r="G60" s="3" t="str" cm="1">
        <f t="array" aca="1" ref="G60" ca="1">INDEX(lista!$B$1:$B$6, RANDBETWEEN(1, 6))</f>
        <v>Torniquete</v>
      </c>
      <c r="H60" s="3" t="str" cm="1">
        <f t="array" aca="1" ref="H60" ca="1">INDEX(lista!$C$1:$C$4, RANDBETWEEN(1, 4))</f>
        <v>Falla mecánica</v>
      </c>
      <c r="I60" s="3" t="str">
        <f t="shared" ca="1" si="4"/>
        <v>Media</v>
      </c>
      <c r="J60" s="3" t="str">
        <f t="shared" ca="1" si="5"/>
        <v>Atendida</v>
      </c>
      <c r="K60" s="4">
        <f t="shared" ca="1" si="6"/>
        <v>45369</v>
      </c>
      <c r="L60" s="1">
        <f t="shared" ca="1" si="7"/>
        <v>3</v>
      </c>
      <c r="M60" s="3" t="str">
        <f t="shared" ca="1" si="8"/>
        <v>Telecomunicaciones</v>
      </c>
    </row>
    <row r="61" spans="1:13" x14ac:dyDescent="0.3">
      <c r="A61" s="3">
        <f t="shared" si="0"/>
        <v>60</v>
      </c>
      <c r="B61" s="4">
        <f t="shared" ca="1" si="1"/>
        <v>45296</v>
      </c>
      <c r="C61" s="4" t="str">
        <f t="shared" ca="1" si="2"/>
        <v>2024-01</v>
      </c>
      <c r="D61" s="5">
        <f t="shared" ca="1" si="3"/>
        <v>0.28541666666666665</v>
      </c>
      <c r="E61" s="3" t="str" cm="1">
        <f t="array" aca="1" ref="E61" ca="1">INDEX(lista!$A$1:$A$12, RANDBETWEEN(1, 12))</f>
        <v>Ayacucho</v>
      </c>
      <c r="F61" s="3" t="s">
        <v>24</v>
      </c>
      <c r="G61" s="3" t="str" cm="1">
        <f t="array" aca="1" ref="G61" ca="1">INDEX(lista!$B$1:$B$6, RANDBETWEEN(1, 6))</f>
        <v>TVM</v>
      </c>
      <c r="H61" s="3" t="str" cm="1">
        <f t="array" aca="1" ref="H61" ca="1">INDEX(lista!$C$1:$C$4, RANDBETWEEN(1, 4))</f>
        <v>Falla mecánica</v>
      </c>
      <c r="I61" s="3" t="str">
        <f t="shared" ca="1" si="4"/>
        <v>Alta</v>
      </c>
      <c r="J61" s="3" t="str">
        <f t="shared" ca="1" si="5"/>
        <v>Atendida</v>
      </c>
      <c r="K61" s="4">
        <f t="shared" ca="1" si="6"/>
        <v>45296</v>
      </c>
      <c r="L61" s="1">
        <f t="shared" ca="1" si="7"/>
        <v>10</v>
      </c>
      <c r="M61" s="3" t="str">
        <f t="shared" ca="1" si="8"/>
        <v>Telecomunicaciones</v>
      </c>
    </row>
    <row r="62" spans="1:13" x14ac:dyDescent="0.3">
      <c r="A62" s="3">
        <f t="shared" si="0"/>
        <v>61</v>
      </c>
      <c r="B62" s="4">
        <f t="shared" ca="1" si="1"/>
        <v>45032</v>
      </c>
      <c r="C62" s="4" t="str">
        <f t="shared" ca="1" si="2"/>
        <v>2023-04</v>
      </c>
      <c r="D62" s="5">
        <f t="shared" ca="1" si="3"/>
        <v>0.57986111111111105</v>
      </c>
      <c r="E62" s="3" t="str" cm="1">
        <f t="array" aca="1" ref="E62" ca="1">INDEX(lista!$A$1:$A$12, RANDBETWEEN(1, 12))</f>
        <v>Ayacucho</v>
      </c>
      <c r="F62" s="3" t="s">
        <v>24</v>
      </c>
      <c r="G62" s="3" t="str" cm="1">
        <f t="array" aca="1" ref="G62" ca="1">INDEX(lista!$B$1:$B$6, RANDBETWEEN(1, 6))</f>
        <v>Ascensor</v>
      </c>
      <c r="H62" s="3" t="str" cm="1">
        <f t="array" aca="1" ref="H62" ca="1">INDEX(lista!$C$1:$C$4, RANDBETWEEN(1, 4))</f>
        <v>Falla eléctrica</v>
      </c>
      <c r="I62" s="3" t="str">
        <f t="shared" ca="1" si="4"/>
        <v>Alta</v>
      </c>
      <c r="J62" s="3" t="str">
        <f t="shared" ca="1" si="5"/>
        <v>En curso</v>
      </c>
      <c r="K62" s="4" t="str">
        <f t="shared" ca="1" si="6"/>
        <v/>
      </c>
      <c r="L62" s="1" t="str">
        <f t="shared" ca="1" si="7"/>
        <v/>
      </c>
      <c r="M62" s="3" t="str">
        <f t="shared" ca="1" si="8"/>
        <v>Mantenimiento</v>
      </c>
    </row>
    <row r="63" spans="1:13" x14ac:dyDescent="0.3">
      <c r="A63" s="3">
        <f t="shared" si="0"/>
        <v>62</v>
      </c>
      <c r="B63" s="4">
        <f t="shared" ca="1" si="1"/>
        <v>45056</v>
      </c>
      <c r="C63" s="4" t="str">
        <f t="shared" ca="1" si="2"/>
        <v>2023-05</v>
      </c>
      <c r="D63" s="5">
        <f t="shared" ca="1" si="3"/>
        <v>0.2673611111111111</v>
      </c>
      <c r="E63" s="3" t="str" cm="1">
        <f t="array" aca="1" ref="E63" ca="1">INDEX(lista!$A$1:$A$12, RANDBETWEEN(1, 12))</f>
        <v>San Borja Sur</v>
      </c>
      <c r="F63" s="3" t="s">
        <v>24</v>
      </c>
      <c r="G63" s="3" t="str" cm="1">
        <f t="array" aca="1" ref="G63" ca="1">INDEX(lista!$B$1:$B$6, RANDBETWEEN(1, 6))</f>
        <v>TVM</v>
      </c>
      <c r="H63" s="3" t="str" cm="1">
        <f t="array" aca="1" ref="H63" ca="1">INDEX(lista!$C$1:$C$4, RANDBETWEEN(1, 4))</f>
        <v>Falla eléctrica</v>
      </c>
      <c r="I63" s="3" t="str">
        <f t="shared" ca="1" si="4"/>
        <v>Alta</v>
      </c>
      <c r="J63" s="3" t="str">
        <f t="shared" ca="1" si="5"/>
        <v>Atendida</v>
      </c>
      <c r="K63" s="4">
        <f t="shared" ca="1" si="6"/>
        <v>45056</v>
      </c>
      <c r="L63" s="1">
        <f t="shared" ca="1" si="7"/>
        <v>7</v>
      </c>
      <c r="M63" s="3" t="str">
        <f t="shared" ca="1" si="8"/>
        <v>Telecomunicaciones</v>
      </c>
    </row>
    <row r="64" spans="1:13" x14ac:dyDescent="0.3">
      <c r="A64" s="3">
        <f t="shared" si="0"/>
        <v>63</v>
      </c>
      <c r="B64" s="4">
        <f t="shared" ca="1" si="1"/>
        <v>45497</v>
      </c>
      <c r="C64" s="4" t="str">
        <f t="shared" ca="1" si="2"/>
        <v>2024-07</v>
      </c>
      <c r="D64" s="5">
        <f t="shared" ca="1" si="3"/>
        <v>0.64027777777777772</v>
      </c>
      <c r="E64" s="3" t="str" cm="1">
        <f t="array" aca="1" ref="E64" ca="1">INDEX(lista!$A$1:$A$12, RANDBETWEEN(1, 12))</f>
        <v>La Cultura</v>
      </c>
      <c r="F64" s="3" t="s">
        <v>24</v>
      </c>
      <c r="G64" s="3" t="str" cm="1">
        <f t="array" aca="1" ref="G64" ca="1">INDEX(lista!$B$1:$B$6, RANDBETWEEN(1, 6))</f>
        <v>Radio</v>
      </c>
      <c r="H64" s="3" t="str" cm="1">
        <f t="array" aca="1" ref="H64" ca="1">INDEX(lista!$C$1:$C$4, RANDBETWEEN(1, 4))</f>
        <v>Daño en infraestructura</v>
      </c>
      <c r="I64" s="3" t="str">
        <f t="shared" ca="1" si="4"/>
        <v>Media</v>
      </c>
      <c r="J64" s="3" t="str">
        <f t="shared" ca="1" si="5"/>
        <v>Atendida</v>
      </c>
      <c r="K64" s="4">
        <f t="shared" ca="1" si="6"/>
        <v>45497</v>
      </c>
      <c r="L64" s="1">
        <f t="shared" ca="1" si="7"/>
        <v>10</v>
      </c>
      <c r="M64" s="3" t="str">
        <f t="shared" ca="1" si="8"/>
        <v>Telecomunicaciones</v>
      </c>
    </row>
    <row r="65" spans="1:13" x14ac:dyDescent="0.3">
      <c r="A65" s="3">
        <f t="shared" si="0"/>
        <v>64</v>
      </c>
      <c r="B65" s="4">
        <f t="shared" ca="1" si="1"/>
        <v>45191</v>
      </c>
      <c r="C65" s="4" t="str">
        <f t="shared" ca="1" si="2"/>
        <v>2023-09</v>
      </c>
      <c r="D65" s="5">
        <f t="shared" ca="1" si="3"/>
        <v>0.54652777777777772</v>
      </c>
      <c r="E65" s="3" t="str" cm="1">
        <f t="array" aca="1" ref="E65" ca="1">INDEX(lista!$A$1:$A$12, RANDBETWEEN(1, 12))</f>
        <v>Gamarra</v>
      </c>
      <c r="F65" s="3" t="s">
        <v>24</v>
      </c>
      <c r="G65" s="3" t="str" cm="1">
        <f t="array" aca="1" ref="G65" ca="1">INDEX(lista!$B$1:$B$6, RANDBETWEEN(1, 6))</f>
        <v>Torniquete</v>
      </c>
      <c r="H65" s="3" t="str" cm="1">
        <f t="array" aca="1" ref="H65" ca="1">INDEX(lista!$C$1:$C$4, RANDBETWEEN(1, 4))</f>
        <v>Mantenimiento preventivo</v>
      </c>
      <c r="I65" s="3" t="str">
        <f t="shared" ca="1" si="4"/>
        <v>Media</v>
      </c>
      <c r="J65" s="3" t="str">
        <f t="shared" ca="1" si="5"/>
        <v>Atendida</v>
      </c>
      <c r="K65" s="4">
        <f t="shared" ca="1" si="6"/>
        <v>45192</v>
      </c>
      <c r="L65" s="1">
        <f t="shared" ca="1" si="7"/>
        <v>3</v>
      </c>
      <c r="M65" s="3" t="str">
        <f t="shared" ca="1" si="8"/>
        <v>Telecomunicaciones</v>
      </c>
    </row>
    <row r="66" spans="1:13" x14ac:dyDescent="0.3">
      <c r="A66" s="3">
        <f t="shared" si="0"/>
        <v>65</v>
      </c>
      <c r="B66" s="4">
        <f t="shared" ca="1" si="1"/>
        <v>45170</v>
      </c>
      <c r="C66" s="4" t="str">
        <f t="shared" ca="1" si="2"/>
        <v>2023-09</v>
      </c>
      <c r="D66" s="5">
        <f t="shared" ca="1" si="3"/>
        <v>5.5555555555555558E-3</v>
      </c>
      <c r="E66" s="3" t="str" cm="1">
        <f t="array" aca="1" ref="E66" ca="1">INDEX(lista!$A$1:$A$12, RANDBETWEEN(1, 12))</f>
        <v>Angamos</v>
      </c>
      <c r="F66" s="3" t="s">
        <v>24</v>
      </c>
      <c r="G66" s="3" t="str" cm="1">
        <f t="array" aca="1" ref="G66" ca="1">INDEX(lista!$B$1:$B$6, RANDBETWEEN(1, 6))</f>
        <v>MET</v>
      </c>
      <c r="H66" s="3" t="str" cm="1">
        <f t="array" aca="1" ref="H66" ca="1">INDEX(lista!$C$1:$C$4, RANDBETWEEN(1, 4))</f>
        <v>Daño en infraestructura</v>
      </c>
      <c r="I66" s="3" t="str">
        <f t="shared" ca="1" si="4"/>
        <v>Alta</v>
      </c>
      <c r="J66" s="3" t="str">
        <f t="shared" ca="1" si="5"/>
        <v>Atendida</v>
      </c>
      <c r="K66" s="4">
        <f t="shared" ca="1" si="6"/>
        <v>45172</v>
      </c>
      <c r="L66" s="1">
        <f t="shared" ca="1" si="7"/>
        <v>10</v>
      </c>
      <c r="M66" s="3" t="str">
        <f t="shared" ca="1" si="8"/>
        <v>Telecomunicaciones</v>
      </c>
    </row>
    <row r="67" spans="1:13" x14ac:dyDescent="0.3">
      <c r="A67" s="3">
        <f t="shared" ref="A67:A130" si="9">ROW()-1</f>
        <v>66</v>
      </c>
      <c r="B67" s="4">
        <f t="shared" ca="1" si="1"/>
        <v>45470</v>
      </c>
      <c r="C67" s="4" t="str">
        <f t="shared" ref="C67:C130" ca="1" si="10">TEXT(B67,"yyyy-mm")</f>
        <v>2024-06</v>
      </c>
      <c r="D67" s="5">
        <f t="shared" ca="1" si="3"/>
        <v>8.5416666666666669E-2</v>
      </c>
      <c r="E67" s="3" t="str" cm="1">
        <f t="array" aca="1" ref="E67" ca="1">INDEX(lista!$A$1:$A$12, RANDBETWEEN(1, 12))</f>
        <v>Atocongo</v>
      </c>
      <c r="F67" s="3" t="s">
        <v>24</v>
      </c>
      <c r="G67" s="3" t="str" cm="1">
        <f t="array" aca="1" ref="G67" ca="1">INDEX(lista!$B$1:$B$6, RANDBETWEEN(1, 6))</f>
        <v>Radio</v>
      </c>
      <c r="H67" s="3" t="str" cm="1">
        <f t="array" aca="1" ref="H67" ca="1">INDEX(lista!$C$1:$C$4, RANDBETWEEN(1, 4))</f>
        <v>Falla eléctrica</v>
      </c>
      <c r="I67" s="3" t="str">
        <f t="shared" ref="I67:I130" ca="1" si="11">CHOOSE(RANDBETWEEN(1,10),"Baja","Baja","Baja","Media","Media","Media","Media","Alta","Alta","Alta")</f>
        <v>Baja</v>
      </c>
      <c r="J67" s="3" t="str">
        <f t="shared" ref="J67:J130" ca="1" si="12">CHOOSE(RANDBETWEEN(1,10),"Atendida","Atendida","Atendida","En curso","En curso","Pendiente","Pendiente","Atendida","Atendida","Atendida")</f>
        <v>Pendiente</v>
      </c>
      <c r="K67" s="4" t="str">
        <f t="shared" ref="K67:K130" ca="1" si="13">IF(J67="Atendida",B67+RANDBETWEEN(0,2),"")</f>
        <v/>
      </c>
      <c r="L67" s="1" t="str">
        <f t="shared" ref="L67:L130" ca="1" si="14">IF(J67="Atendida",RANDBETWEEN(1,24),"")</f>
        <v/>
      </c>
      <c r="M67" s="3" t="str">
        <f t="shared" ref="M67:M130" ca="1" si="15">IF(OR(G67="Escalera eléctrica",G67="Ascensor",G67="Puertas de andén"),"Mantenimiento",IF(G67="Sistema eléctrico","Infraestructura","Telecomunicaciones"))</f>
        <v>Telecomunicaciones</v>
      </c>
    </row>
    <row r="68" spans="1:13" x14ac:dyDescent="0.3">
      <c r="A68" s="3">
        <f t="shared" si="9"/>
        <v>67</v>
      </c>
      <c r="B68" s="4">
        <f t="shared" ca="1" si="1"/>
        <v>45142</v>
      </c>
      <c r="C68" s="4" t="str">
        <f t="shared" ca="1" si="10"/>
        <v>2023-08</v>
      </c>
      <c r="D68" s="5">
        <f t="shared" ca="1" si="3"/>
        <v>0.68402777777777779</v>
      </c>
      <c r="E68" s="3" t="str" cm="1">
        <f t="array" aca="1" ref="E68" ca="1">INDEX(lista!$A$1:$A$12, RANDBETWEEN(1, 12))</f>
        <v>San Borja Sur</v>
      </c>
      <c r="F68" s="3" t="s">
        <v>24</v>
      </c>
      <c r="G68" s="3" t="str" cm="1">
        <f t="array" aca="1" ref="G68" ca="1">INDEX(lista!$B$1:$B$6, RANDBETWEEN(1, 6))</f>
        <v>Radio</v>
      </c>
      <c r="H68" s="3" t="str" cm="1">
        <f t="array" aca="1" ref="H68" ca="1">INDEX(lista!$C$1:$C$4, RANDBETWEEN(1, 4))</f>
        <v>Daño en infraestructura</v>
      </c>
      <c r="I68" s="3" t="str">
        <f t="shared" ca="1" si="11"/>
        <v>Media</v>
      </c>
      <c r="J68" s="3" t="str">
        <f t="shared" ca="1" si="12"/>
        <v>Atendida</v>
      </c>
      <c r="K68" s="4">
        <f t="shared" ca="1" si="13"/>
        <v>45144</v>
      </c>
      <c r="L68" s="1">
        <f t="shared" ca="1" si="14"/>
        <v>22</v>
      </c>
      <c r="M68" s="3" t="str">
        <f t="shared" ca="1" si="15"/>
        <v>Telecomunicaciones</v>
      </c>
    </row>
    <row r="69" spans="1:13" x14ac:dyDescent="0.3">
      <c r="A69" s="3">
        <f t="shared" si="9"/>
        <v>68</v>
      </c>
      <c r="B69" s="4">
        <f t="shared" ca="1" si="1"/>
        <v>44957</v>
      </c>
      <c r="C69" s="4" t="str">
        <f t="shared" ca="1" si="10"/>
        <v>2023-01</v>
      </c>
      <c r="D69" s="5">
        <f t="shared" ca="1" si="3"/>
        <v>9.5833333333333326E-2</v>
      </c>
      <c r="E69" s="3" t="str" cm="1">
        <f t="array" aca="1" ref="E69" ca="1">INDEX(lista!$A$1:$A$12, RANDBETWEEN(1, 12))</f>
        <v>Pumacahua</v>
      </c>
      <c r="F69" s="3" t="s">
        <v>24</v>
      </c>
      <c r="G69" s="3" t="str" cm="1">
        <f t="array" aca="1" ref="G69" ca="1">INDEX(lista!$B$1:$B$6, RANDBETWEEN(1, 6))</f>
        <v>Escalera eléctrica</v>
      </c>
      <c r="H69" s="3" t="str" cm="1">
        <f t="array" aca="1" ref="H69" ca="1">INDEX(lista!$C$1:$C$4, RANDBETWEEN(1, 4))</f>
        <v>Falla mecánica</v>
      </c>
      <c r="I69" s="3" t="str">
        <f t="shared" ca="1" si="11"/>
        <v>Alta</v>
      </c>
      <c r="J69" s="3" t="str">
        <f t="shared" ca="1" si="12"/>
        <v>Pendiente</v>
      </c>
      <c r="K69" s="4" t="str">
        <f t="shared" ca="1" si="13"/>
        <v/>
      </c>
      <c r="L69" s="1" t="str">
        <f t="shared" ca="1" si="14"/>
        <v/>
      </c>
      <c r="M69" s="3" t="str">
        <f t="shared" ca="1" si="15"/>
        <v>Mantenimiento</v>
      </c>
    </row>
    <row r="70" spans="1:13" x14ac:dyDescent="0.3">
      <c r="A70" s="3">
        <f t="shared" si="9"/>
        <v>69</v>
      </c>
      <c r="B70" s="4">
        <f t="shared" ca="1" si="1"/>
        <v>45258</v>
      </c>
      <c r="C70" s="4" t="str">
        <f t="shared" ca="1" si="10"/>
        <v>2023-11</v>
      </c>
      <c r="D70" s="5">
        <f t="shared" ca="1" si="3"/>
        <v>0.24305555555555558</v>
      </c>
      <c r="E70" s="3" t="str" cm="1">
        <f t="array" aca="1" ref="E70" ca="1">INDEX(lista!$A$1:$A$12, RANDBETWEEN(1, 12))</f>
        <v>Pumacahua</v>
      </c>
      <c r="F70" s="3" t="s">
        <v>24</v>
      </c>
      <c r="G70" s="3" t="str" cm="1">
        <f t="array" aca="1" ref="G70" ca="1">INDEX(lista!$B$1:$B$6, RANDBETWEEN(1, 6))</f>
        <v>MET</v>
      </c>
      <c r="H70" s="3" t="str" cm="1">
        <f t="array" aca="1" ref="H70" ca="1">INDEX(lista!$C$1:$C$4, RANDBETWEEN(1, 4))</f>
        <v>Mantenimiento preventivo</v>
      </c>
      <c r="I70" s="3" t="str">
        <f t="shared" ca="1" si="11"/>
        <v>Media</v>
      </c>
      <c r="J70" s="3" t="str">
        <f t="shared" ca="1" si="12"/>
        <v>Atendida</v>
      </c>
      <c r="K70" s="4">
        <f t="shared" ca="1" si="13"/>
        <v>45258</v>
      </c>
      <c r="L70" s="1">
        <f t="shared" ca="1" si="14"/>
        <v>15</v>
      </c>
      <c r="M70" s="3" t="str">
        <f t="shared" ca="1" si="15"/>
        <v>Telecomunicaciones</v>
      </c>
    </row>
    <row r="71" spans="1:13" x14ac:dyDescent="0.3">
      <c r="A71" s="3">
        <f t="shared" si="9"/>
        <v>70</v>
      </c>
      <c r="B71" s="4">
        <f t="shared" ca="1" si="1"/>
        <v>45171</v>
      </c>
      <c r="C71" s="4" t="str">
        <f t="shared" ca="1" si="10"/>
        <v>2023-09</v>
      </c>
      <c r="D71" s="5">
        <f t="shared" ca="1" si="3"/>
        <v>0.38472222222222224</v>
      </c>
      <c r="E71" s="3" t="str" cm="1">
        <f t="array" aca="1" ref="E71" ca="1">INDEX(lista!$A$1:$A$12, RANDBETWEEN(1, 12))</f>
        <v>San Carlos</v>
      </c>
      <c r="F71" s="3" t="s">
        <v>24</v>
      </c>
      <c r="G71" s="3" t="str" cm="1">
        <f t="array" aca="1" ref="G71" ca="1">INDEX(lista!$B$1:$B$6, RANDBETWEEN(1, 6))</f>
        <v>MET</v>
      </c>
      <c r="H71" s="3" t="str" cm="1">
        <f t="array" aca="1" ref="H71" ca="1">INDEX(lista!$C$1:$C$4, RANDBETWEEN(1, 4))</f>
        <v>Daño en infraestructura</v>
      </c>
      <c r="I71" s="3" t="str">
        <f t="shared" ca="1" si="11"/>
        <v>Alta</v>
      </c>
      <c r="J71" s="3" t="str">
        <f t="shared" ca="1" si="12"/>
        <v>Atendida</v>
      </c>
      <c r="K71" s="4">
        <f t="shared" ca="1" si="13"/>
        <v>45173</v>
      </c>
      <c r="L71" s="1">
        <f t="shared" ca="1" si="14"/>
        <v>23</v>
      </c>
      <c r="M71" s="3" t="str">
        <f t="shared" ca="1" si="15"/>
        <v>Telecomunicaciones</v>
      </c>
    </row>
    <row r="72" spans="1:13" x14ac:dyDescent="0.3">
      <c r="A72" s="3">
        <f t="shared" si="9"/>
        <v>71</v>
      </c>
      <c r="B72" s="4">
        <f t="shared" ca="1" si="1"/>
        <v>45228</v>
      </c>
      <c r="C72" s="4" t="str">
        <f t="shared" ca="1" si="10"/>
        <v>2023-10</v>
      </c>
      <c r="D72" s="5">
        <f t="shared" ca="1" si="3"/>
        <v>0.61041666666666672</v>
      </c>
      <c r="E72" s="3" t="str" cm="1">
        <f t="array" aca="1" ref="E72" ca="1">INDEX(lista!$A$1:$A$12, RANDBETWEEN(1, 12))</f>
        <v>Gamarra</v>
      </c>
      <c r="F72" s="3" t="s">
        <v>24</v>
      </c>
      <c r="G72" s="3" t="str" cm="1">
        <f t="array" aca="1" ref="G72" ca="1">INDEX(lista!$B$1:$B$6, RANDBETWEEN(1, 6))</f>
        <v>Escalera eléctrica</v>
      </c>
      <c r="H72" s="3" t="str" cm="1">
        <f t="array" aca="1" ref="H72" ca="1">INDEX(lista!$C$1:$C$4, RANDBETWEEN(1, 4))</f>
        <v>Daño en infraestructura</v>
      </c>
      <c r="I72" s="3" t="str">
        <f t="shared" ca="1" si="11"/>
        <v>Baja</v>
      </c>
      <c r="J72" s="3" t="str">
        <f t="shared" ca="1" si="12"/>
        <v>Atendida</v>
      </c>
      <c r="K72" s="4">
        <f t="shared" ca="1" si="13"/>
        <v>45230</v>
      </c>
      <c r="L72" s="1">
        <f t="shared" ca="1" si="14"/>
        <v>1</v>
      </c>
      <c r="M72" s="3" t="str">
        <f t="shared" ca="1" si="15"/>
        <v>Mantenimiento</v>
      </c>
    </row>
    <row r="73" spans="1:13" x14ac:dyDescent="0.3">
      <c r="A73" s="3">
        <f t="shared" si="9"/>
        <v>72</v>
      </c>
      <c r="B73" s="4">
        <f t="shared" ca="1" si="1"/>
        <v>45322</v>
      </c>
      <c r="C73" s="4" t="str">
        <f t="shared" ca="1" si="10"/>
        <v>2024-01</v>
      </c>
      <c r="D73" s="5">
        <f t="shared" ca="1" si="3"/>
        <v>0.30208333333333337</v>
      </c>
      <c r="E73" s="3" t="str" cm="1">
        <f t="array" aca="1" ref="E73" ca="1">INDEX(lista!$A$1:$A$12, RANDBETWEEN(1, 12))</f>
        <v>Ayacucho</v>
      </c>
      <c r="F73" s="3" t="s">
        <v>24</v>
      </c>
      <c r="G73" s="3" t="str" cm="1">
        <f t="array" aca="1" ref="G73" ca="1">INDEX(lista!$B$1:$B$6, RANDBETWEEN(1, 6))</f>
        <v>Radio</v>
      </c>
      <c r="H73" s="3" t="str" cm="1">
        <f t="array" aca="1" ref="H73" ca="1">INDEX(lista!$C$1:$C$4, RANDBETWEEN(1, 4))</f>
        <v>Daño en infraestructura</v>
      </c>
      <c r="I73" s="3" t="str">
        <f t="shared" ca="1" si="11"/>
        <v>Baja</v>
      </c>
      <c r="J73" s="3" t="str">
        <f t="shared" ca="1" si="12"/>
        <v>Atendida</v>
      </c>
      <c r="K73" s="4">
        <f t="shared" ca="1" si="13"/>
        <v>45323</v>
      </c>
      <c r="L73" s="1">
        <f t="shared" ca="1" si="14"/>
        <v>2</v>
      </c>
      <c r="M73" s="3" t="str">
        <f t="shared" ca="1" si="15"/>
        <v>Telecomunicaciones</v>
      </c>
    </row>
    <row r="74" spans="1:13" x14ac:dyDescent="0.3">
      <c r="A74" s="3">
        <f t="shared" si="9"/>
        <v>73</v>
      </c>
      <c r="B74" s="4">
        <f t="shared" ca="1" si="1"/>
        <v>45484</v>
      </c>
      <c r="C74" s="4" t="str">
        <f t="shared" ca="1" si="10"/>
        <v>2024-07</v>
      </c>
      <c r="D74" s="5">
        <f t="shared" ca="1" si="3"/>
        <v>0.65763888888888888</v>
      </c>
      <c r="E74" s="3" t="str" cm="1">
        <f t="array" aca="1" ref="E74" ca="1">INDEX(lista!$A$1:$A$12, RANDBETWEEN(1, 12))</f>
        <v>San Borja Sur</v>
      </c>
      <c r="F74" s="3" t="s">
        <v>24</v>
      </c>
      <c r="G74" s="3" t="str" cm="1">
        <f t="array" aca="1" ref="G74" ca="1">INDEX(lista!$B$1:$B$6, RANDBETWEEN(1, 6))</f>
        <v>MET</v>
      </c>
      <c r="H74" s="3" t="str" cm="1">
        <f t="array" aca="1" ref="H74" ca="1">INDEX(lista!$C$1:$C$4, RANDBETWEEN(1, 4))</f>
        <v>Falla eléctrica</v>
      </c>
      <c r="I74" s="3" t="str">
        <f t="shared" ca="1" si="11"/>
        <v>Baja</v>
      </c>
      <c r="J74" s="3" t="str">
        <f t="shared" ca="1" si="12"/>
        <v>Pendiente</v>
      </c>
      <c r="K74" s="4" t="str">
        <f t="shared" ca="1" si="13"/>
        <v/>
      </c>
      <c r="L74" s="1" t="str">
        <f t="shared" ca="1" si="14"/>
        <v/>
      </c>
      <c r="M74" s="3" t="str">
        <f t="shared" ca="1" si="15"/>
        <v>Telecomunicaciones</v>
      </c>
    </row>
    <row r="75" spans="1:13" x14ac:dyDescent="0.3">
      <c r="A75" s="3">
        <f t="shared" si="9"/>
        <v>74</v>
      </c>
      <c r="B75" s="4">
        <f t="shared" ca="1" si="1"/>
        <v>45360</v>
      </c>
      <c r="C75" s="4" t="str">
        <f t="shared" ca="1" si="10"/>
        <v>2024-03</v>
      </c>
      <c r="D75" s="5">
        <f t="shared" ca="1" si="3"/>
        <v>0.63263888888888886</v>
      </c>
      <c r="E75" s="3" t="str" cm="1">
        <f t="array" aca="1" ref="E75" ca="1">INDEX(lista!$A$1:$A$12, RANDBETWEEN(1, 12))</f>
        <v>La Cultura</v>
      </c>
      <c r="F75" s="3" t="s">
        <v>24</v>
      </c>
      <c r="G75" s="3" t="str" cm="1">
        <f t="array" aca="1" ref="G75" ca="1">INDEX(lista!$B$1:$B$6, RANDBETWEEN(1, 6))</f>
        <v>Escalera eléctrica</v>
      </c>
      <c r="H75" s="3" t="str" cm="1">
        <f t="array" aca="1" ref="H75" ca="1">INDEX(lista!$C$1:$C$4, RANDBETWEEN(1, 4))</f>
        <v>Daño en infraestructura</v>
      </c>
      <c r="I75" s="3" t="str">
        <f t="shared" ca="1" si="11"/>
        <v>Media</v>
      </c>
      <c r="J75" s="3" t="str">
        <f t="shared" ca="1" si="12"/>
        <v>Pendiente</v>
      </c>
      <c r="K75" s="4" t="str">
        <f t="shared" ca="1" si="13"/>
        <v/>
      </c>
      <c r="L75" s="1" t="str">
        <f t="shared" ca="1" si="14"/>
        <v/>
      </c>
      <c r="M75" s="3" t="str">
        <f t="shared" ca="1" si="15"/>
        <v>Mantenimiento</v>
      </c>
    </row>
    <row r="76" spans="1:13" x14ac:dyDescent="0.3">
      <c r="A76" s="3">
        <f t="shared" si="9"/>
        <v>75</v>
      </c>
      <c r="B76" s="4">
        <f t="shared" ca="1" si="1"/>
        <v>45019</v>
      </c>
      <c r="C76" s="4" t="str">
        <f t="shared" ca="1" si="10"/>
        <v>2023-04</v>
      </c>
      <c r="D76" s="5">
        <f t="shared" ca="1" si="3"/>
        <v>1.3888888888888888E-2</v>
      </c>
      <c r="E76" s="3" t="str" cm="1">
        <f t="array" aca="1" ref="E76" ca="1">INDEX(lista!$A$1:$A$12, RANDBETWEEN(1, 12))</f>
        <v>Santa Rosa</v>
      </c>
      <c r="F76" s="3" t="s">
        <v>24</v>
      </c>
      <c r="G76" s="3" t="str" cm="1">
        <f t="array" aca="1" ref="G76" ca="1">INDEX(lista!$B$1:$B$6, RANDBETWEEN(1, 6))</f>
        <v>Torniquete</v>
      </c>
      <c r="H76" s="3" t="str" cm="1">
        <f t="array" aca="1" ref="H76" ca="1">INDEX(lista!$C$1:$C$4, RANDBETWEEN(1, 4))</f>
        <v>Mantenimiento preventivo</v>
      </c>
      <c r="I76" s="3" t="str">
        <f t="shared" ca="1" si="11"/>
        <v>Baja</v>
      </c>
      <c r="J76" s="3" t="str">
        <f t="shared" ca="1" si="12"/>
        <v>Atendida</v>
      </c>
      <c r="K76" s="4">
        <f t="shared" ca="1" si="13"/>
        <v>45020</v>
      </c>
      <c r="L76" s="1">
        <f t="shared" ca="1" si="14"/>
        <v>24</v>
      </c>
      <c r="M76" s="3" t="str">
        <f t="shared" ca="1" si="15"/>
        <v>Telecomunicaciones</v>
      </c>
    </row>
    <row r="77" spans="1:13" x14ac:dyDescent="0.3">
      <c r="A77" s="3">
        <f t="shared" si="9"/>
        <v>76</v>
      </c>
      <c r="B77" s="4">
        <f t="shared" ca="1" si="1"/>
        <v>45300</v>
      </c>
      <c r="C77" s="4" t="str">
        <f t="shared" ca="1" si="10"/>
        <v>2024-01</v>
      </c>
      <c r="D77" s="5">
        <f t="shared" ca="1" si="3"/>
        <v>0.38055555555555554</v>
      </c>
      <c r="E77" s="3" t="str" cm="1">
        <f t="array" aca="1" ref="E77" ca="1">INDEX(lista!$A$1:$A$12, RANDBETWEEN(1, 12))</f>
        <v>Cabitos</v>
      </c>
      <c r="F77" s="3" t="s">
        <v>24</v>
      </c>
      <c r="G77" s="3" t="str" cm="1">
        <f t="array" aca="1" ref="G77" ca="1">INDEX(lista!$B$1:$B$6, RANDBETWEEN(1, 6))</f>
        <v>Torniquete</v>
      </c>
      <c r="H77" s="3" t="str" cm="1">
        <f t="array" aca="1" ref="H77" ca="1">INDEX(lista!$C$1:$C$4, RANDBETWEEN(1, 4))</f>
        <v>Daño en infraestructura</v>
      </c>
      <c r="I77" s="3" t="str">
        <f t="shared" ca="1" si="11"/>
        <v>Baja</v>
      </c>
      <c r="J77" s="3" t="str">
        <f t="shared" ca="1" si="12"/>
        <v>Pendiente</v>
      </c>
      <c r="K77" s="4" t="str">
        <f t="shared" ca="1" si="13"/>
        <v/>
      </c>
      <c r="L77" s="1" t="str">
        <f t="shared" ca="1" si="14"/>
        <v/>
      </c>
      <c r="M77" s="3" t="str">
        <f t="shared" ca="1" si="15"/>
        <v>Telecomunicaciones</v>
      </c>
    </row>
    <row r="78" spans="1:13" x14ac:dyDescent="0.3">
      <c r="A78" s="3">
        <f t="shared" si="9"/>
        <v>77</v>
      </c>
      <c r="B78" s="4">
        <f t="shared" ca="1" si="1"/>
        <v>45608</v>
      </c>
      <c r="C78" s="4" t="str">
        <f t="shared" ca="1" si="10"/>
        <v>2024-11</v>
      </c>
      <c r="D78" s="5">
        <f t="shared" ca="1" si="3"/>
        <v>1.4583333333333334E-2</v>
      </c>
      <c r="E78" s="3" t="str" cm="1">
        <f t="array" aca="1" ref="E78" ca="1">INDEX(lista!$A$1:$A$12, RANDBETWEEN(1, 12))</f>
        <v>Ayacucho</v>
      </c>
      <c r="F78" s="3" t="s">
        <v>24</v>
      </c>
      <c r="G78" s="3" t="str" cm="1">
        <f t="array" aca="1" ref="G78" ca="1">INDEX(lista!$B$1:$B$6, RANDBETWEEN(1, 6))</f>
        <v>Escalera eléctrica</v>
      </c>
      <c r="H78" s="3" t="str" cm="1">
        <f t="array" aca="1" ref="H78" ca="1">INDEX(lista!$C$1:$C$4, RANDBETWEEN(1, 4))</f>
        <v>Falla eléctrica</v>
      </c>
      <c r="I78" s="3" t="str">
        <f t="shared" ca="1" si="11"/>
        <v>Media</v>
      </c>
      <c r="J78" s="3" t="str">
        <f t="shared" ca="1" si="12"/>
        <v>Atendida</v>
      </c>
      <c r="K78" s="4">
        <f t="shared" ca="1" si="13"/>
        <v>45608</v>
      </c>
      <c r="L78" s="1">
        <f t="shared" ca="1" si="14"/>
        <v>19</v>
      </c>
      <c r="M78" s="3" t="str">
        <f t="shared" ca="1" si="15"/>
        <v>Mantenimiento</v>
      </c>
    </row>
    <row r="79" spans="1:13" x14ac:dyDescent="0.3">
      <c r="A79" s="3">
        <f t="shared" si="9"/>
        <v>78</v>
      </c>
      <c r="B79" s="4">
        <f t="shared" ca="1" si="1"/>
        <v>45061</v>
      </c>
      <c r="C79" s="4" t="str">
        <f t="shared" ca="1" si="10"/>
        <v>2023-05</v>
      </c>
      <c r="D79" s="5">
        <f t="shared" ca="1" si="3"/>
        <v>0.71944444444444444</v>
      </c>
      <c r="E79" s="3" t="str" cm="1">
        <f t="array" aca="1" ref="E79" ca="1">INDEX(lista!$A$1:$A$12, RANDBETWEEN(1, 12))</f>
        <v>Santa Rosa</v>
      </c>
      <c r="F79" s="3" t="s">
        <v>24</v>
      </c>
      <c r="G79" s="3" t="str" cm="1">
        <f t="array" aca="1" ref="G79" ca="1">INDEX(lista!$B$1:$B$6, RANDBETWEEN(1, 6))</f>
        <v>MET</v>
      </c>
      <c r="H79" s="3" t="str" cm="1">
        <f t="array" aca="1" ref="H79" ca="1">INDEX(lista!$C$1:$C$4, RANDBETWEEN(1, 4))</f>
        <v>Falla eléctrica</v>
      </c>
      <c r="I79" s="3" t="str">
        <f t="shared" ca="1" si="11"/>
        <v>Alta</v>
      </c>
      <c r="J79" s="3" t="str">
        <f t="shared" ca="1" si="12"/>
        <v>Pendiente</v>
      </c>
      <c r="K79" s="4" t="str">
        <f t="shared" ca="1" si="13"/>
        <v/>
      </c>
      <c r="L79" s="1" t="str">
        <f t="shared" ca="1" si="14"/>
        <v/>
      </c>
      <c r="M79" s="3" t="str">
        <f t="shared" ca="1" si="15"/>
        <v>Telecomunicaciones</v>
      </c>
    </row>
    <row r="80" spans="1:13" x14ac:dyDescent="0.3">
      <c r="A80" s="3">
        <f t="shared" si="9"/>
        <v>79</v>
      </c>
      <c r="B80" s="4">
        <f t="shared" ca="1" si="1"/>
        <v>45637</v>
      </c>
      <c r="C80" s="4" t="str">
        <f t="shared" ca="1" si="10"/>
        <v>2024-12</v>
      </c>
      <c r="D80" s="5">
        <f t="shared" ca="1" si="3"/>
        <v>9.7222222222222224E-3</v>
      </c>
      <c r="E80" s="3" t="str" cm="1">
        <f t="array" aca="1" ref="E80" ca="1">INDEX(lista!$A$1:$A$12, RANDBETWEEN(1, 12))</f>
        <v>Ayacucho</v>
      </c>
      <c r="F80" s="3" t="s">
        <v>24</v>
      </c>
      <c r="G80" s="3" t="str" cm="1">
        <f t="array" aca="1" ref="G80" ca="1">INDEX(lista!$B$1:$B$6, RANDBETWEEN(1, 6))</f>
        <v>Ascensor</v>
      </c>
      <c r="H80" s="3" t="str" cm="1">
        <f t="array" aca="1" ref="H80" ca="1">INDEX(lista!$C$1:$C$4, RANDBETWEEN(1, 4))</f>
        <v>Mantenimiento preventivo</v>
      </c>
      <c r="I80" s="3" t="str">
        <f t="shared" ca="1" si="11"/>
        <v>Baja</v>
      </c>
      <c r="J80" s="3" t="str">
        <f t="shared" ca="1" si="12"/>
        <v>Atendida</v>
      </c>
      <c r="K80" s="4">
        <f t="shared" ca="1" si="13"/>
        <v>45639</v>
      </c>
      <c r="L80" s="1">
        <f t="shared" ca="1" si="14"/>
        <v>14</v>
      </c>
      <c r="M80" s="3" t="str">
        <f t="shared" ca="1" si="15"/>
        <v>Mantenimiento</v>
      </c>
    </row>
    <row r="81" spans="1:13" x14ac:dyDescent="0.3">
      <c r="A81" s="3">
        <f t="shared" si="9"/>
        <v>80</v>
      </c>
      <c r="B81" s="4">
        <f t="shared" ca="1" si="1"/>
        <v>45411</v>
      </c>
      <c r="C81" s="4" t="str">
        <f t="shared" ca="1" si="10"/>
        <v>2024-04</v>
      </c>
      <c r="D81" s="5">
        <f t="shared" ca="1" si="3"/>
        <v>0.16805555555555554</v>
      </c>
      <c r="E81" s="3" t="str" cm="1">
        <f t="array" aca="1" ref="E81" ca="1">INDEX(lista!$A$1:$A$12, RANDBETWEEN(1, 12))</f>
        <v>San Borja Sur</v>
      </c>
      <c r="F81" s="3" t="s">
        <v>24</v>
      </c>
      <c r="G81" s="3" t="str" cm="1">
        <f t="array" aca="1" ref="G81" ca="1">INDEX(lista!$B$1:$B$6, RANDBETWEEN(1, 6))</f>
        <v>Radio</v>
      </c>
      <c r="H81" s="3" t="str" cm="1">
        <f t="array" aca="1" ref="H81" ca="1">INDEX(lista!$C$1:$C$4, RANDBETWEEN(1, 4))</f>
        <v>Daño en infraestructura</v>
      </c>
      <c r="I81" s="3" t="str">
        <f t="shared" ca="1" si="11"/>
        <v>Baja</v>
      </c>
      <c r="J81" s="3" t="str">
        <f t="shared" ca="1" si="12"/>
        <v>Pendiente</v>
      </c>
      <c r="K81" s="4" t="str">
        <f t="shared" ca="1" si="13"/>
        <v/>
      </c>
      <c r="L81" s="1" t="str">
        <f t="shared" ca="1" si="14"/>
        <v/>
      </c>
      <c r="M81" s="3" t="str">
        <f t="shared" ca="1" si="15"/>
        <v>Telecomunicaciones</v>
      </c>
    </row>
    <row r="82" spans="1:13" x14ac:dyDescent="0.3">
      <c r="A82" s="3">
        <f t="shared" si="9"/>
        <v>81</v>
      </c>
      <c r="B82" s="4">
        <f t="shared" ca="1" si="1"/>
        <v>45311</v>
      </c>
      <c r="C82" s="4" t="str">
        <f t="shared" ca="1" si="10"/>
        <v>2024-01</v>
      </c>
      <c r="D82" s="5">
        <f t="shared" ca="1" si="3"/>
        <v>0.10694444444444444</v>
      </c>
      <c r="E82" s="3" t="str" cm="1">
        <f t="array" aca="1" ref="E82" ca="1">INDEX(lista!$A$1:$A$12, RANDBETWEEN(1, 12))</f>
        <v>Villa El Salvador</v>
      </c>
      <c r="F82" s="3" t="s">
        <v>24</v>
      </c>
      <c r="G82" s="3" t="str" cm="1">
        <f t="array" aca="1" ref="G82" ca="1">INDEX(lista!$B$1:$B$6, RANDBETWEEN(1, 6))</f>
        <v>Radio</v>
      </c>
      <c r="H82" s="3" t="str" cm="1">
        <f t="array" aca="1" ref="H82" ca="1">INDEX(lista!$C$1:$C$4, RANDBETWEEN(1, 4))</f>
        <v>Falla eléctrica</v>
      </c>
      <c r="I82" s="3" t="str">
        <f t="shared" ca="1" si="11"/>
        <v>Media</v>
      </c>
      <c r="J82" s="3" t="str">
        <f t="shared" ca="1" si="12"/>
        <v>Atendida</v>
      </c>
      <c r="K82" s="4">
        <f t="shared" ca="1" si="13"/>
        <v>45312</v>
      </c>
      <c r="L82" s="1">
        <f t="shared" ca="1" si="14"/>
        <v>16</v>
      </c>
      <c r="M82" s="3" t="str">
        <f t="shared" ca="1" si="15"/>
        <v>Telecomunicaciones</v>
      </c>
    </row>
    <row r="83" spans="1:13" x14ac:dyDescent="0.3">
      <c r="A83" s="3">
        <f t="shared" si="9"/>
        <v>82</v>
      </c>
      <c r="B83" s="4">
        <f t="shared" ca="1" si="1"/>
        <v>44986</v>
      </c>
      <c r="C83" s="4" t="str">
        <f t="shared" ca="1" si="10"/>
        <v>2023-03</v>
      </c>
      <c r="D83" s="5">
        <f t="shared" ca="1" si="3"/>
        <v>0.63749999999999996</v>
      </c>
      <c r="E83" s="3" t="str" cm="1">
        <f t="array" aca="1" ref="E83" ca="1">INDEX(lista!$A$1:$A$12, RANDBETWEEN(1, 12))</f>
        <v>Angamos</v>
      </c>
      <c r="F83" s="3" t="s">
        <v>24</v>
      </c>
      <c r="G83" s="3" t="str" cm="1">
        <f t="array" aca="1" ref="G83" ca="1">INDEX(lista!$B$1:$B$6, RANDBETWEEN(1, 6))</f>
        <v>TVM</v>
      </c>
      <c r="H83" s="3" t="str" cm="1">
        <f t="array" aca="1" ref="H83" ca="1">INDEX(lista!$C$1:$C$4, RANDBETWEEN(1, 4))</f>
        <v>Falla eléctrica</v>
      </c>
      <c r="I83" s="3" t="str">
        <f t="shared" ca="1" si="11"/>
        <v>Baja</v>
      </c>
      <c r="J83" s="3" t="str">
        <f t="shared" ca="1" si="12"/>
        <v>En curso</v>
      </c>
      <c r="K83" s="4" t="str">
        <f t="shared" ca="1" si="13"/>
        <v/>
      </c>
      <c r="L83" s="1" t="str">
        <f t="shared" ca="1" si="14"/>
        <v/>
      </c>
      <c r="M83" s="3" t="str">
        <f t="shared" ca="1" si="15"/>
        <v>Telecomunicaciones</v>
      </c>
    </row>
    <row r="84" spans="1:13" x14ac:dyDescent="0.3">
      <c r="A84" s="3">
        <f t="shared" si="9"/>
        <v>83</v>
      </c>
      <c r="B84" s="4">
        <f t="shared" ca="1" si="1"/>
        <v>45464</v>
      </c>
      <c r="C84" s="4" t="str">
        <f t="shared" ca="1" si="10"/>
        <v>2024-06</v>
      </c>
      <c r="D84" s="5">
        <f t="shared" ca="1" si="3"/>
        <v>0.4770833333333333</v>
      </c>
      <c r="E84" s="3" t="str" cm="1">
        <f t="array" aca="1" ref="E84" ca="1">INDEX(lista!$A$1:$A$12, RANDBETWEEN(1, 12))</f>
        <v>La Cultura</v>
      </c>
      <c r="F84" s="3" t="s">
        <v>24</v>
      </c>
      <c r="G84" s="3" t="str" cm="1">
        <f t="array" aca="1" ref="G84" ca="1">INDEX(lista!$B$1:$B$6, RANDBETWEEN(1, 6))</f>
        <v>TVM</v>
      </c>
      <c r="H84" s="3" t="str" cm="1">
        <f t="array" aca="1" ref="H84" ca="1">INDEX(lista!$C$1:$C$4, RANDBETWEEN(1, 4))</f>
        <v>Falla eléctrica</v>
      </c>
      <c r="I84" s="3" t="str">
        <f t="shared" ca="1" si="11"/>
        <v>Media</v>
      </c>
      <c r="J84" s="3" t="str">
        <f t="shared" ca="1" si="12"/>
        <v>Pendiente</v>
      </c>
      <c r="K84" s="4" t="str">
        <f t="shared" ca="1" si="13"/>
        <v/>
      </c>
      <c r="L84" s="1" t="str">
        <f t="shared" ca="1" si="14"/>
        <v/>
      </c>
      <c r="M84" s="3" t="str">
        <f t="shared" ca="1" si="15"/>
        <v>Telecomunicaciones</v>
      </c>
    </row>
    <row r="85" spans="1:13" x14ac:dyDescent="0.3">
      <c r="A85" s="3">
        <f t="shared" si="9"/>
        <v>84</v>
      </c>
      <c r="B85" s="4">
        <f t="shared" ca="1" si="1"/>
        <v>44948</v>
      </c>
      <c r="C85" s="4" t="str">
        <f t="shared" ca="1" si="10"/>
        <v>2023-01</v>
      </c>
      <c r="D85" s="5">
        <f t="shared" ca="1" si="3"/>
        <v>0.40138888888888891</v>
      </c>
      <c r="E85" s="3" t="str" cm="1">
        <f t="array" aca="1" ref="E85" ca="1">INDEX(lista!$A$1:$A$12, RANDBETWEEN(1, 12))</f>
        <v>San Carlos</v>
      </c>
      <c r="F85" s="3" t="s">
        <v>24</v>
      </c>
      <c r="G85" s="3" t="str" cm="1">
        <f t="array" aca="1" ref="G85" ca="1">INDEX(lista!$B$1:$B$6, RANDBETWEEN(1, 6))</f>
        <v>Radio</v>
      </c>
      <c r="H85" s="3" t="str" cm="1">
        <f t="array" aca="1" ref="H85" ca="1">INDEX(lista!$C$1:$C$4, RANDBETWEEN(1, 4))</f>
        <v>Daño en infraestructura</v>
      </c>
      <c r="I85" s="3" t="str">
        <f t="shared" ca="1" si="11"/>
        <v>Alta</v>
      </c>
      <c r="J85" s="3" t="str">
        <f t="shared" ca="1" si="12"/>
        <v>En curso</v>
      </c>
      <c r="K85" s="4" t="str">
        <f t="shared" ca="1" si="13"/>
        <v/>
      </c>
      <c r="L85" s="1" t="str">
        <f t="shared" ca="1" si="14"/>
        <v/>
      </c>
      <c r="M85" s="3" t="str">
        <f t="shared" ca="1" si="15"/>
        <v>Telecomunicaciones</v>
      </c>
    </row>
    <row r="86" spans="1:13" x14ac:dyDescent="0.3">
      <c r="A86" s="3">
        <f t="shared" si="9"/>
        <v>85</v>
      </c>
      <c r="B86" s="4">
        <f t="shared" ca="1" si="1"/>
        <v>45057</v>
      </c>
      <c r="C86" s="4" t="str">
        <f t="shared" ca="1" si="10"/>
        <v>2023-05</v>
      </c>
      <c r="D86" s="5">
        <f t="shared" ca="1" si="3"/>
        <v>0.71875</v>
      </c>
      <c r="E86" s="3" t="str" cm="1">
        <f t="array" aca="1" ref="E86" ca="1">INDEX(lista!$A$1:$A$12, RANDBETWEEN(1, 12))</f>
        <v>Gamarra</v>
      </c>
      <c r="F86" s="3" t="s">
        <v>24</v>
      </c>
      <c r="G86" s="3" t="str" cm="1">
        <f t="array" aca="1" ref="G86" ca="1">INDEX(lista!$B$1:$B$6, RANDBETWEEN(1, 6))</f>
        <v>Radio</v>
      </c>
      <c r="H86" s="3" t="str" cm="1">
        <f t="array" aca="1" ref="H86" ca="1">INDEX(lista!$C$1:$C$4, RANDBETWEEN(1, 4))</f>
        <v>Daño en infraestructura</v>
      </c>
      <c r="I86" s="3" t="str">
        <f t="shared" ca="1" si="11"/>
        <v>Media</v>
      </c>
      <c r="J86" s="3" t="str">
        <f t="shared" ca="1" si="12"/>
        <v>Atendida</v>
      </c>
      <c r="K86" s="4">
        <f t="shared" ca="1" si="13"/>
        <v>45057</v>
      </c>
      <c r="L86" s="1">
        <f t="shared" ca="1" si="14"/>
        <v>23</v>
      </c>
      <c r="M86" s="3" t="str">
        <f t="shared" ca="1" si="15"/>
        <v>Telecomunicaciones</v>
      </c>
    </row>
    <row r="87" spans="1:13" x14ac:dyDescent="0.3">
      <c r="A87" s="3">
        <f t="shared" si="9"/>
        <v>86</v>
      </c>
      <c r="B87" s="4">
        <f t="shared" ca="1" si="1"/>
        <v>45322</v>
      </c>
      <c r="C87" s="4" t="str">
        <f t="shared" ca="1" si="10"/>
        <v>2024-01</v>
      </c>
      <c r="D87" s="5">
        <f t="shared" ca="1" si="3"/>
        <v>0.52847222222222223</v>
      </c>
      <c r="E87" s="3" t="str" cm="1">
        <f t="array" aca="1" ref="E87" ca="1">INDEX(lista!$A$1:$A$12, RANDBETWEEN(1, 12))</f>
        <v>La Cultura</v>
      </c>
      <c r="F87" s="3" t="s">
        <v>24</v>
      </c>
      <c r="G87" s="3" t="str" cm="1">
        <f t="array" aca="1" ref="G87" ca="1">INDEX(lista!$B$1:$B$6, RANDBETWEEN(1, 6))</f>
        <v>TVM</v>
      </c>
      <c r="H87" s="3" t="str" cm="1">
        <f t="array" aca="1" ref="H87" ca="1">INDEX(lista!$C$1:$C$4, RANDBETWEEN(1, 4))</f>
        <v>Daño en infraestructura</v>
      </c>
      <c r="I87" s="3" t="str">
        <f t="shared" ca="1" si="11"/>
        <v>Baja</v>
      </c>
      <c r="J87" s="3" t="str">
        <f t="shared" ca="1" si="12"/>
        <v>Pendiente</v>
      </c>
      <c r="K87" s="4" t="str">
        <f t="shared" ca="1" si="13"/>
        <v/>
      </c>
      <c r="L87" s="1" t="str">
        <f t="shared" ca="1" si="14"/>
        <v/>
      </c>
      <c r="M87" s="3" t="str">
        <f t="shared" ca="1" si="15"/>
        <v>Telecomunicaciones</v>
      </c>
    </row>
    <row r="88" spans="1:13" x14ac:dyDescent="0.3">
      <c r="A88" s="3">
        <f t="shared" si="9"/>
        <v>87</v>
      </c>
      <c r="B88" s="4">
        <f t="shared" ca="1" si="1"/>
        <v>45271</v>
      </c>
      <c r="C88" s="4" t="str">
        <f t="shared" ca="1" si="10"/>
        <v>2023-12</v>
      </c>
      <c r="D88" s="5">
        <f t="shared" ca="1" si="3"/>
        <v>0.64444444444444449</v>
      </c>
      <c r="E88" s="3" t="str" cm="1">
        <f t="array" aca="1" ref="E88" ca="1">INDEX(lista!$A$1:$A$12, RANDBETWEEN(1, 12))</f>
        <v>San Carlos</v>
      </c>
      <c r="F88" s="3" t="s">
        <v>24</v>
      </c>
      <c r="G88" s="3" t="str" cm="1">
        <f t="array" aca="1" ref="G88" ca="1">INDEX(lista!$B$1:$B$6, RANDBETWEEN(1, 6))</f>
        <v>Torniquete</v>
      </c>
      <c r="H88" s="3" t="str" cm="1">
        <f t="array" aca="1" ref="H88" ca="1">INDEX(lista!$C$1:$C$4, RANDBETWEEN(1, 4))</f>
        <v>Daño en infraestructura</v>
      </c>
      <c r="I88" s="3" t="str">
        <f t="shared" ca="1" si="11"/>
        <v>Media</v>
      </c>
      <c r="J88" s="3" t="str">
        <f t="shared" ca="1" si="12"/>
        <v>Atendida</v>
      </c>
      <c r="K88" s="4">
        <f t="shared" ca="1" si="13"/>
        <v>45271</v>
      </c>
      <c r="L88" s="1">
        <f t="shared" ca="1" si="14"/>
        <v>10</v>
      </c>
      <c r="M88" s="3" t="str">
        <f t="shared" ca="1" si="15"/>
        <v>Telecomunicaciones</v>
      </c>
    </row>
    <row r="89" spans="1:13" x14ac:dyDescent="0.3">
      <c r="A89" s="3">
        <f t="shared" si="9"/>
        <v>88</v>
      </c>
      <c r="B89" s="4">
        <f t="shared" ca="1" si="1"/>
        <v>45568</v>
      </c>
      <c r="C89" s="4" t="str">
        <f t="shared" ca="1" si="10"/>
        <v>2024-10</v>
      </c>
      <c r="D89" s="5">
        <f t="shared" ca="1" si="3"/>
        <v>0.54652777777777772</v>
      </c>
      <c r="E89" s="3" t="str" cm="1">
        <f t="array" aca="1" ref="E89" ca="1">INDEX(lista!$A$1:$A$12, RANDBETWEEN(1, 12))</f>
        <v>Bayóvar</v>
      </c>
      <c r="F89" s="3" t="s">
        <v>24</v>
      </c>
      <c r="G89" s="3" t="str" cm="1">
        <f t="array" aca="1" ref="G89" ca="1">INDEX(lista!$B$1:$B$6, RANDBETWEEN(1, 6))</f>
        <v>Radio</v>
      </c>
      <c r="H89" s="3" t="str" cm="1">
        <f t="array" aca="1" ref="H89" ca="1">INDEX(lista!$C$1:$C$4, RANDBETWEEN(1, 4))</f>
        <v>Falla mecánica</v>
      </c>
      <c r="I89" s="3" t="str">
        <f t="shared" ca="1" si="11"/>
        <v>Media</v>
      </c>
      <c r="J89" s="3" t="str">
        <f t="shared" ca="1" si="12"/>
        <v>Atendida</v>
      </c>
      <c r="K89" s="4">
        <f t="shared" ca="1" si="13"/>
        <v>45568</v>
      </c>
      <c r="L89" s="1">
        <f t="shared" ca="1" si="14"/>
        <v>2</v>
      </c>
      <c r="M89" s="3" t="str">
        <f t="shared" ca="1" si="15"/>
        <v>Telecomunicaciones</v>
      </c>
    </row>
    <row r="90" spans="1:13" x14ac:dyDescent="0.3">
      <c r="A90" s="3">
        <f t="shared" si="9"/>
        <v>89</v>
      </c>
      <c r="B90" s="4">
        <f t="shared" ca="1" si="1"/>
        <v>45653</v>
      </c>
      <c r="C90" s="4" t="str">
        <f t="shared" ca="1" si="10"/>
        <v>2024-12</v>
      </c>
      <c r="D90" s="5">
        <f t="shared" ca="1" si="3"/>
        <v>0.88958333333333328</v>
      </c>
      <c r="E90" s="3" t="str" cm="1">
        <f t="array" aca="1" ref="E90" ca="1">INDEX(lista!$A$1:$A$12, RANDBETWEEN(1, 12))</f>
        <v>La Cultura</v>
      </c>
      <c r="F90" s="3" t="s">
        <v>24</v>
      </c>
      <c r="G90" s="3" t="str" cm="1">
        <f t="array" aca="1" ref="G90" ca="1">INDEX(lista!$B$1:$B$6, RANDBETWEEN(1, 6))</f>
        <v>Radio</v>
      </c>
      <c r="H90" s="3" t="str" cm="1">
        <f t="array" aca="1" ref="H90" ca="1">INDEX(lista!$C$1:$C$4, RANDBETWEEN(1, 4))</f>
        <v>Falla eléctrica</v>
      </c>
      <c r="I90" s="3" t="str">
        <f t="shared" ca="1" si="11"/>
        <v>Baja</v>
      </c>
      <c r="J90" s="3" t="str">
        <f t="shared" ca="1" si="12"/>
        <v>Atendida</v>
      </c>
      <c r="K90" s="4">
        <f t="shared" ca="1" si="13"/>
        <v>45654</v>
      </c>
      <c r="L90" s="1">
        <f t="shared" ca="1" si="14"/>
        <v>22</v>
      </c>
      <c r="M90" s="3" t="str">
        <f t="shared" ca="1" si="15"/>
        <v>Telecomunicaciones</v>
      </c>
    </row>
    <row r="91" spans="1:13" x14ac:dyDescent="0.3">
      <c r="A91" s="3">
        <f t="shared" si="9"/>
        <v>90</v>
      </c>
      <c r="B91" s="4">
        <f t="shared" ca="1" si="1"/>
        <v>45008</v>
      </c>
      <c r="C91" s="4" t="str">
        <f t="shared" ca="1" si="10"/>
        <v>2023-03</v>
      </c>
      <c r="D91" s="5">
        <f t="shared" ca="1" si="3"/>
        <v>0.87847222222222221</v>
      </c>
      <c r="E91" s="3" t="str" cm="1">
        <f t="array" aca="1" ref="E91" ca="1">INDEX(lista!$A$1:$A$12, RANDBETWEEN(1, 12))</f>
        <v>Angamos</v>
      </c>
      <c r="F91" s="3" t="s">
        <v>24</v>
      </c>
      <c r="G91" s="3" t="str" cm="1">
        <f t="array" aca="1" ref="G91" ca="1">INDEX(lista!$B$1:$B$6, RANDBETWEEN(1, 6))</f>
        <v>Radio</v>
      </c>
      <c r="H91" s="3" t="str" cm="1">
        <f t="array" aca="1" ref="H91" ca="1">INDEX(lista!$C$1:$C$4, RANDBETWEEN(1, 4))</f>
        <v>Mantenimiento preventivo</v>
      </c>
      <c r="I91" s="3" t="str">
        <f t="shared" ca="1" si="11"/>
        <v>Alta</v>
      </c>
      <c r="J91" s="3" t="str">
        <f t="shared" ca="1" si="12"/>
        <v>Atendida</v>
      </c>
      <c r="K91" s="4">
        <f t="shared" ca="1" si="13"/>
        <v>45008</v>
      </c>
      <c r="L91" s="1">
        <f t="shared" ca="1" si="14"/>
        <v>19</v>
      </c>
      <c r="M91" s="3" t="str">
        <f t="shared" ca="1" si="15"/>
        <v>Telecomunicaciones</v>
      </c>
    </row>
    <row r="92" spans="1:13" x14ac:dyDescent="0.3">
      <c r="A92" s="3">
        <f t="shared" si="9"/>
        <v>91</v>
      </c>
      <c r="B92" s="4">
        <f t="shared" ca="1" si="1"/>
        <v>45490</v>
      </c>
      <c r="C92" s="4" t="str">
        <f t="shared" ca="1" si="10"/>
        <v>2024-07</v>
      </c>
      <c r="D92" s="5">
        <f t="shared" ca="1" si="3"/>
        <v>0.47222222222222221</v>
      </c>
      <c r="E92" s="3" t="str" cm="1">
        <f t="array" aca="1" ref="E92" ca="1">INDEX(lista!$A$1:$A$12, RANDBETWEEN(1, 12))</f>
        <v>Ayacucho</v>
      </c>
      <c r="F92" s="3" t="s">
        <v>24</v>
      </c>
      <c r="G92" s="3" t="str" cm="1">
        <f t="array" aca="1" ref="G92" ca="1">INDEX(lista!$B$1:$B$6, RANDBETWEEN(1, 6))</f>
        <v>TVM</v>
      </c>
      <c r="H92" s="3" t="str" cm="1">
        <f t="array" aca="1" ref="H92" ca="1">INDEX(lista!$C$1:$C$4, RANDBETWEEN(1, 4))</f>
        <v>Falla mecánica</v>
      </c>
      <c r="I92" s="3" t="str">
        <f t="shared" ca="1" si="11"/>
        <v>Media</v>
      </c>
      <c r="J92" s="3" t="str">
        <f t="shared" ca="1" si="12"/>
        <v>Atendida</v>
      </c>
      <c r="K92" s="4">
        <f t="shared" ca="1" si="13"/>
        <v>45491</v>
      </c>
      <c r="L92" s="1">
        <f t="shared" ca="1" si="14"/>
        <v>7</v>
      </c>
      <c r="M92" s="3" t="str">
        <f t="shared" ca="1" si="15"/>
        <v>Telecomunicaciones</v>
      </c>
    </row>
    <row r="93" spans="1:13" x14ac:dyDescent="0.3">
      <c r="A93" s="3">
        <f t="shared" si="9"/>
        <v>92</v>
      </c>
      <c r="B93" s="4">
        <f t="shared" ca="1" si="1"/>
        <v>45486</v>
      </c>
      <c r="C93" s="4" t="str">
        <f t="shared" ca="1" si="10"/>
        <v>2024-07</v>
      </c>
      <c r="D93" s="5">
        <f t="shared" ca="1" si="3"/>
        <v>0.58055555555555549</v>
      </c>
      <c r="E93" s="3" t="str" cm="1">
        <f t="array" aca="1" ref="E93" ca="1">INDEX(lista!$A$1:$A$12, RANDBETWEEN(1, 12))</f>
        <v>Pumacahua</v>
      </c>
      <c r="F93" s="3" t="s">
        <v>24</v>
      </c>
      <c r="G93" s="3" t="str" cm="1">
        <f t="array" aca="1" ref="G93" ca="1">INDEX(lista!$B$1:$B$6, RANDBETWEEN(1, 6))</f>
        <v>Torniquete</v>
      </c>
      <c r="H93" s="3" t="str" cm="1">
        <f t="array" aca="1" ref="H93" ca="1">INDEX(lista!$C$1:$C$4, RANDBETWEEN(1, 4))</f>
        <v>Mantenimiento preventivo</v>
      </c>
      <c r="I93" s="3" t="str">
        <f t="shared" ca="1" si="11"/>
        <v>Media</v>
      </c>
      <c r="J93" s="3" t="str">
        <f t="shared" ca="1" si="12"/>
        <v>Pendiente</v>
      </c>
      <c r="K93" s="4" t="str">
        <f t="shared" ca="1" si="13"/>
        <v/>
      </c>
      <c r="L93" s="1" t="str">
        <f t="shared" ca="1" si="14"/>
        <v/>
      </c>
      <c r="M93" s="3" t="str">
        <f t="shared" ca="1" si="15"/>
        <v>Telecomunicaciones</v>
      </c>
    </row>
    <row r="94" spans="1:13" x14ac:dyDescent="0.3">
      <c r="A94" s="3">
        <f t="shared" si="9"/>
        <v>93</v>
      </c>
      <c r="B94" s="4">
        <f t="shared" ca="1" si="1"/>
        <v>44992</v>
      </c>
      <c r="C94" s="4" t="str">
        <f t="shared" ca="1" si="10"/>
        <v>2023-03</v>
      </c>
      <c r="D94" s="5">
        <f t="shared" ca="1" si="3"/>
        <v>0.12013888888888888</v>
      </c>
      <c r="E94" s="3" t="str" cm="1">
        <f t="array" aca="1" ref="E94" ca="1">INDEX(lista!$A$1:$A$12, RANDBETWEEN(1, 12))</f>
        <v>Santa Rosa</v>
      </c>
      <c r="F94" s="3" t="s">
        <v>24</v>
      </c>
      <c r="G94" s="3" t="str" cm="1">
        <f t="array" aca="1" ref="G94" ca="1">INDEX(lista!$B$1:$B$6, RANDBETWEEN(1, 6))</f>
        <v>Torniquete</v>
      </c>
      <c r="H94" s="3" t="str" cm="1">
        <f t="array" aca="1" ref="H94" ca="1">INDEX(lista!$C$1:$C$4, RANDBETWEEN(1, 4))</f>
        <v>Falla mecánica</v>
      </c>
      <c r="I94" s="3" t="str">
        <f t="shared" ca="1" si="11"/>
        <v>Media</v>
      </c>
      <c r="J94" s="3" t="str">
        <f t="shared" ca="1" si="12"/>
        <v>Atendida</v>
      </c>
      <c r="K94" s="4">
        <f t="shared" ca="1" si="13"/>
        <v>44992</v>
      </c>
      <c r="L94" s="1">
        <f t="shared" ca="1" si="14"/>
        <v>10</v>
      </c>
      <c r="M94" s="3" t="str">
        <f t="shared" ca="1" si="15"/>
        <v>Telecomunicaciones</v>
      </c>
    </row>
    <row r="95" spans="1:13" x14ac:dyDescent="0.3">
      <c r="A95" s="3">
        <f t="shared" si="9"/>
        <v>94</v>
      </c>
      <c r="B95" s="4">
        <f t="shared" ca="1" si="1"/>
        <v>45398</v>
      </c>
      <c r="C95" s="4" t="str">
        <f t="shared" ca="1" si="10"/>
        <v>2024-04</v>
      </c>
      <c r="D95" s="5">
        <f t="shared" ca="1" si="3"/>
        <v>0.97222222222222221</v>
      </c>
      <c r="E95" s="3" t="str" cm="1">
        <f t="array" aca="1" ref="E95" ca="1">INDEX(lista!$A$1:$A$12, RANDBETWEEN(1, 12))</f>
        <v>Ayacucho</v>
      </c>
      <c r="F95" s="3" t="s">
        <v>24</v>
      </c>
      <c r="G95" s="3" t="str" cm="1">
        <f t="array" aca="1" ref="G95" ca="1">INDEX(lista!$B$1:$B$6, RANDBETWEEN(1, 6))</f>
        <v>Torniquete</v>
      </c>
      <c r="H95" s="3" t="str" cm="1">
        <f t="array" aca="1" ref="H95" ca="1">INDEX(lista!$C$1:$C$4, RANDBETWEEN(1, 4))</f>
        <v>Mantenimiento preventivo</v>
      </c>
      <c r="I95" s="3" t="str">
        <f t="shared" ca="1" si="11"/>
        <v>Baja</v>
      </c>
      <c r="J95" s="3" t="str">
        <f t="shared" ca="1" si="12"/>
        <v>En curso</v>
      </c>
      <c r="K95" s="4" t="str">
        <f t="shared" ca="1" si="13"/>
        <v/>
      </c>
      <c r="L95" s="1" t="str">
        <f t="shared" ca="1" si="14"/>
        <v/>
      </c>
      <c r="M95" s="3" t="str">
        <f t="shared" ca="1" si="15"/>
        <v>Telecomunicaciones</v>
      </c>
    </row>
    <row r="96" spans="1:13" x14ac:dyDescent="0.3">
      <c r="A96" s="3">
        <f t="shared" si="9"/>
        <v>95</v>
      </c>
      <c r="B96" s="4">
        <f t="shared" ca="1" si="1"/>
        <v>45156</v>
      </c>
      <c r="C96" s="4" t="str">
        <f t="shared" ca="1" si="10"/>
        <v>2023-08</v>
      </c>
      <c r="D96" s="5">
        <f t="shared" ca="1" si="3"/>
        <v>0.28472222222222221</v>
      </c>
      <c r="E96" s="3" t="str" cm="1">
        <f t="array" aca="1" ref="E96" ca="1">INDEX(lista!$A$1:$A$12, RANDBETWEEN(1, 12))</f>
        <v>La Cultura</v>
      </c>
      <c r="F96" s="3" t="s">
        <v>24</v>
      </c>
      <c r="G96" s="3" t="str" cm="1">
        <f t="array" aca="1" ref="G96" ca="1">INDEX(lista!$B$1:$B$6, RANDBETWEEN(1, 6))</f>
        <v>Escalera eléctrica</v>
      </c>
      <c r="H96" s="3" t="str" cm="1">
        <f t="array" aca="1" ref="H96" ca="1">INDEX(lista!$C$1:$C$4, RANDBETWEEN(1, 4))</f>
        <v>Daño en infraestructura</v>
      </c>
      <c r="I96" s="3" t="str">
        <f t="shared" ca="1" si="11"/>
        <v>Baja</v>
      </c>
      <c r="J96" s="3" t="str">
        <f t="shared" ca="1" si="12"/>
        <v>En curso</v>
      </c>
      <c r="K96" s="4" t="str">
        <f t="shared" ca="1" si="13"/>
        <v/>
      </c>
      <c r="L96" s="1" t="str">
        <f t="shared" ca="1" si="14"/>
        <v/>
      </c>
      <c r="M96" s="3" t="str">
        <f t="shared" ca="1" si="15"/>
        <v>Mantenimiento</v>
      </c>
    </row>
    <row r="97" spans="1:13" x14ac:dyDescent="0.3">
      <c r="A97" s="3">
        <f t="shared" si="9"/>
        <v>96</v>
      </c>
      <c r="B97" s="4">
        <f t="shared" ca="1" si="1"/>
        <v>44951</v>
      </c>
      <c r="C97" s="4" t="str">
        <f t="shared" ca="1" si="10"/>
        <v>2023-01</v>
      </c>
      <c r="D97" s="5">
        <f t="shared" ca="1" si="3"/>
        <v>0.90972222222222221</v>
      </c>
      <c r="E97" s="3" t="str" cm="1">
        <f t="array" aca="1" ref="E97" ca="1">INDEX(lista!$A$1:$A$12, RANDBETWEEN(1, 12))</f>
        <v>Gamarra</v>
      </c>
      <c r="F97" s="3" t="s">
        <v>24</v>
      </c>
      <c r="G97" s="3" t="str" cm="1">
        <f t="array" aca="1" ref="G97" ca="1">INDEX(lista!$B$1:$B$6, RANDBETWEEN(1, 6))</f>
        <v>MET</v>
      </c>
      <c r="H97" s="3" t="str" cm="1">
        <f t="array" aca="1" ref="H97" ca="1">INDEX(lista!$C$1:$C$4, RANDBETWEEN(1, 4))</f>
        <v>Falla eléctrica</v>
      </c>
      <c r="I97" s="3" t="str">
        <f t="shared" ca="1" si="11"/>
        <v>Baja</v>
      </c>
      <c r="J97" s="3" t="str">
        <f t="shared" ca="1" si="12"/>
        <v>Pendiente</v>
      </c>
      <c r="K97" s="4" t="str">
        <f t="shared" ca="1" si="13"/>
        <v/>
      </c>
      <c r="L97" s="1" t="str">
        <f t="shared" ca="1" si="14"/>
        <v/>
      </c>
      <c r="M97" s="3" t="str">
        <f t="shared" ca="1" si="15"/>
        <v>Telecomunicaciones</v>
      </c>
    </row>
    <row r="98" spans="1:13" x14ac:dyDescent="0.3">
      <c r="A98" s="3">
        <f t="shared" si="9"/>
        <v>97</v>
      </c>
      <c r="B98" s="4">
        <f t="shared" ca="1" si="1"/>
        <v>45639</v>
      </c>
      <c r="C98" s="4" t="str">
        <f t="shared" ca="1" si="10"/>
        <v>2024-12</v>
      </c>
      <c r="D98" s="5">
        <f t="shared" ca="1" si="3"/>
        <v>0.11319444444444444</v>
      </c>
      <c r="E98" s="3" t="str" cm="1">
        <f t="array" aca="1" ref="E98" ca="1">INDEX(lista!$A$1:$A$12, RANDBETWEEN(1, 12))</f>
        <v>San Carlos</v>
      </c>
      <c r="F98" s="3" t="s">
        <v>24</v>
      </c>
      <c r="G98" s="3" t="str" cm="1">
        <f t="array" aca="1" ref="G98" ca="1">INDEX(lista!$B$1:$B$6, RANDBETWEEN(1, 6))</f>
        <v>TVM</v>
      </c>
      <c r="H98" s="3" t="str" cm="1">
        <f t="array" aca="1" ref="H98" ca="1">INDEX(lista!$C$1:$C$4, RANDBETWEEN(1, 4))</f>
        <v>Daño en infraestructura</v>
      </c>
      <c r="I98" s="3" t="str">
        <f t="shared" ca="1" si="11"/>
        <v>Alta</v>
      </c>
      <c r="J98" s="3" t="str">
        <f t="shared" ca="1" si="12"/>
        <v>Atendida</v>
      </c>
      <c r="K98" s="4">
        <f t="shared" ca="1" si="13"/>
        <v>45640</v>
      </c>
      <c r="L98" s="1">
        <f t="shared" ca="1" si="14"/>
        <v>9</v>
      </c>
      <c r="M98" s="3" t="str">
        <f t="shared" ca="1" si="15"/>
        <v>Telecomunicaciones</v>
      </c>
    </row>
    <row r="99" spans="1:13" x14ac:dyDescent="0.3">
      <c r="A99" s="3">
        <f t="shared" si="9"/>
        <v>98</v>
      </c>
      <c r="B99" s="4">
        <f t="shared" ca="1" si="1"/>
        <v>45329</v>
      </c>
      <c r="C99" s="4" t="str">
        <f t="shared" ca="1" si="10"/>
        <v>2024-02</v>
      </c>
      <c r="D99" s="5">
        <f t="shared" ca="1" si="3"/>
        <v>0.71250000000000002</v>
      </c>
      <c r="E99" s="3" t="str" cm="1">
        <f t="array" aca="1" ref="E99" ca="1">INDEX(lista!$A$1:$A$12, RANDBETWEEN(1, 12))</f>
        <v>Ayacucho</v>
      </c>
      <c r="F99" s="3" t="s">
        <v>24</v>
      </c>
      <c r="G99" s="3" t="str" cm="1">
        <f t="array" aca="1" ref="G99" ca="1">INDEX(lista!$B$1:$B$6, RANDBETWEEN(1, 6))</f>
        <v>MET</v>
      </c>
      <c r="H99" s="3" t="str" cm="1">
        <f t="array" aca="1" ref="H99" ca="1">INDEX(lista!$C$1:$C$4, RANDBETWEEN(1, 4))</f>
        <v>Falla eléctrica</v>
      </c>
      <c r="I99" s="3" t="str">
        <f t="shared" ca="1" si="11"/>
        <v>Baja</v>
      </c>
      <c r="J99" s="3" t="str">
        <f t="shared" ca="1" si="12"/>
        <v>Atendida</v>
      </c>
      <c r="K99" s="4">
        <f t="shared" ca="1" si="13"/>
        <v>45331</v>
      </c>
      <c r="L99" s="1">
        <f t="shared" ca="1" si="14"/>
        <v>24</v>
      </c>
      <c r="M99" s="3" t="str">
        <f t="shared" ca="1" si="15"/>
        <v>Telecomunicaciones</v>
      </c>
    </row>
    <row r="100" spans="1:13" x14ac:dyDescent="0.3">
      <c r="A100" s="3">
        <f t="shared" si="9"/>
        <v>99</v>
      </c>
      <c r="B100" s="4">
        <f t="shared" ca="1" si="1"/>
        <v>45383</v>
      </c>
      <c r="C100" s="4" t="str">
        <f t="shared" ca="1" si="10"/>
        <v>2024-04</v>
      </c>
      <c r="D100" s="5">
        <f t="shared" ca="1" si="3"/>
        <v>0.79027777777777775</v>
      </c>
      <c r="E100" s="3" t="str" cm="1">
        <f t="array" aca="1" ref="E100" ca="1">INDEX(lista!$A$1:$A$12, RANDBETWEEN(1, 12))</f>
        <v>Ayacucho</v>
      </c>
      <c r="F100" s="3" t="s">
        <v>24</v>
      </c>
      <c r="G100" s="3" t="str" cm="1">
        <f t="array" aca="1" ref="G100" ca="1">INDEX(lista!$B$1:$B$6, RANDBETWEEN(1, 6))</f>
        <v>MET</v>
      </c>
      <c r="H100" s="3" t="str" cm="1">
        <f t="array" aca="1" ref="H100" ca="1">INDEX(lista!$C$1:$C$4, RANDBETWEEN(1, 4))</f>
        <v>Falla eléctrica</v>
      </c>
      <c r="I100" s="3" t="str">
        <f t="shared" ca="1" si="11"/>
        <v>Media</v>
      </c>
      <c r="J100" s="3" t="str">
        <f t="shared" ca="1" si="12"/>
        <v>Pendiente</v>
      </c>
      <c r="K100" s="4" t="str">
        <f t="shared" ca="1" si="13"/>
        <v/>
      </c>
      <c r="L100" s="1" t="str">
        <f t="shared" ca="1" si="14"/>
        <v/>
      </c>
      <c r="M100" s="3" t="str">
        <f t="shared" ca="1" si="15"/>
        <v>Telecomunicaciones</v>
      </c>
    </row>
    <row r="101" spans="1:13" x14ac:dyDescent="0.3">
      <c r="A101" s="3">
        <f t="shared" si="9"/>
        <v>100</v>
      </c>
      <c r="B101" s="4">
        <f t="shared" ca="1" si="1"/>
        <v>45075</v>
      </c>
      <c r="C101" s="4" t="str">
        <f t="shared" ca="1" si="10"/>
        <v>2023-05</v>
      </c>
      <c r="D101" s="5">
        <f t="shared" ca="1" si="3"/>
        <v>0.56319444444444444</v>
      </c>
      <c r="E101" s="3" t="str" cm="1">
        <f t="array" aca="1" ref="E101" ca="1">INDEX(lista!$A$1:$A$12, RANDBETWEEN(1, 12))</f>
        <v>Bayóvar</v>
      </c>
      <c r="F101" s="3" t="s">
        <v>24</v>
      </c>
      <c r="G101" s="3" t="str" cm="1">
        <f t="array" aca="1" ref="G101" ca="1">INDEX(lista!$B$1:$B$6, RANDBETWEEN(1, 6))</f>
        <v>Escalera eléctrica</v>
      </c>
      <c r="H101" s="3" t="str" cm="1">
        <f t="array" aca="1" ref="H101" ca="1">INDEX(lista!$C$1:$C$4, RANDBETWEEN(1, 4))</f>
        <v>Mantenimiento preventivo</v>
      </c>
      <c r="I101" s="3" t="str">
        <f t="shared" ca="1" si="11"/>
        <v>Baja</v>
      </c>
      <c r="J101" s="3" t="str">
        <f t="shared" ca="1" si="12"/>
        <v>Atendida</v>
      </c>
      <c r="K101" s="4">
        <f t="shared" ca="1" si="13"/>
        <v>45077</v>
      </c>
      <c r="L101" s="1">
        <f t="shared" ca="1" si="14"/>
        <v>9</v>
      </c>
      <c r="M101" s="3" t="str">
        <f t="shared" ca="1" si="15"/>
        <v>Mantenimiento</v>
      </c>
    </row>
    <row r="102" spans="1:13" x14ac:dyDescent="0.3">
      <c r="A102" s="3">
        <f t="shared" si="9"/>
        <v>101</v>
      </c>
      <c r="B102" s="4">
        <f t="shared" ca="1" si="1"/>
        <v>45160</v>
      </c>
      <c r="C102" s="4" t="str">
        <f t="shared" ca="1" si="10"/>
        <v>2023-08</v>
      </c>
      <c r="D102" s="5">
        <f t="shared" ca="1" si="3"/>
        <v>0.16458333333333333</v>
      </c>
      <c r="E102" s="3" t="str" cm="1">
        <f t="array" aca="1" ref="E102" ca="1">INDEX(lista!$A$1:$A$12, RANDBETWEEN(1, 12))</f>
        <v>Atocongo</v>
      </c>
      <c r="F102" s="3" t="s">
        <v>24</v>
      </c>
      <c r="G102" s="3" t="str" cm="1">
        <f t="array" aca="1" ref="G102" ca="1">INDEX(lista!$B$1:$B$6, RANDBETWEEN(1, 6))</f>
        <v>Escalera eléctrica</v>
      </c>
      <c r="H102" s="3" t="str" cm="1">
        <f t="array" aca="1" ref="H102" ca="1">INDEX(lista!$C$1:$C$4, RANDBETWEEN(1, 4))</f>
        <v>Falla eléctrica</v>
      </c>
      <c r="I102" s="3" t="str">
        <f t="shared" ca="1" si="11"/>
        <v>Baja</v>
      </c>
      <c r="J102" s="3" t="str">
        <f t="shared" ca="1" si="12"/>
        <v>Atendida</v>
      </c>
      <c r="K102" s="4">
        <f t="shared" ca="1" si="13"/>
        <v>45162</v>
      </c>
      <c r="L102" s="1">
        <f t="shared" ca="1" si="14"/>
        <v>4</v>
      </c>
      <c r="M102" s="3" t="str">
        <f t="shared" ca="1" si="15"/>
        <v>Mantenimiento</v>
      </c>
    </row>
    <row r="103" spans="1:13" x14ac:dyDescent="0.3">
      <c r="A103" s="3">
        <f t="shared" si="9"/>
        <v>102</v>
      </c>
      <c r="B103" s="4">
        <f t="shared" ca="1" si="1"/>
        <v>45082</v>
      </c>
      <c r="C103" s="4" t="str">
        <f t="shared" ca="1" si="10"/>
        <v>2023-06</v>
      </c>
      <c r="D103" s="5">
        <f t="shared" ca="1" si="3"/>
        <v>0.88194444444444442</v>
      </c>
      <c r="E103" s="3" t="str" cm="1">
        <f t="array" aca="1" ref="E103" ca="1">INDEX(lista!$A$1:$A$12, RANDBETWEEN(1, 12))</f>
        <v>San Borja Sur</v>
      </c>
      <c r="F103" s="3" t="s">
        <v>24</v>
      </c>
      <c r="G103" s="3" t="str" cm="1">
        <f t="array" aca="1" ref="G103" ca="1">INDEX(lista!$B$1:$B$6, RANDBETWEEN(1, 6))</f>
        <v>Ascensor</v>
      </c>
      <c r="H103" s="3" t="str" cm="1">
        <f t="array" aca="1" ref="H103" ca="1">INDEX(lista!$C$1:$C$4, RANDBETWEEN(1, 4))</f>
        <v>Falla mecánica</v>
      </c>
      <c r="I103" s="3" t="str">
        <f t="shared" ca="1" si="11"/>
        <v>Alta</v>
      </c>
      <c r="J103" s="3" t="str">
        <f t="shared" ca="1" si="12"/>
        <v>Atendida</v>
      </c>
      <c r="K103" s="4">
        <f t="shared" ca="1" si="13"/>
        <v>45082</v>
      </c>
      <c r="L103" s="1">
        <f t="shared" ca="1" si="14"/>
        <v>3</v>
      </c>
      <c r="M103" s="3" t="str">
        <f t="shared" ca="1" si="15"/>
        <v>Mantenimiento</v>
      </c>
    </row>
    <row r="104" spans="1:13" x14ac:dyDescent="0.3">
      <c r="A104" s="3">
        <f t="shared" si="9"/>
        <v>103</v>
      </c>
      <c r="B104" s="4">
        <f t="shared" ca="1" si="1"/>
        <v>45026</v>
      </c>
      <c r="C104" s="4" t="str">
        <f t="shared" ca="1" si="10"/>
        <v>2023-04</v>
      </c>
      <c r="D104" s="5">
        <f t="shared" ca="1" si="3"/>
        <v>0.90347222222222223</v>
      </c>
      <c r="E104" s="3" t="str" cm="1">
        <f t="array" aca="1" ref="E104" ca="1">INDEX(lista!$A$1:$A$12, RANDBETWEEN(1, 12))</f>
        <v>Bayóvar</v>
      </c>
      <c r="F104" s="3" t="s">
        <v>24</v>
      </c>
      <c r="G104" s="3" t="str" cm="1">
        <f t="array" aca="1" ref="G104" ca="1">INDEX(lista!$B$1:$B$6, RANDBETWEEN(1, 6))</f>
        <v>Torniquete</v>
      </c>
      <c r="H104" s="3" t="str" cm="1">
        <f t="array" aca="1" ref="H104" ca="1">INDEX(lista!$C$1:$C$4, RANDBETWEEN(1, 4))</f>
        <v>Daño en infraestructura</v>
      </c>
      <c r="I104" s="3" t="str">
        <f t="shared" ca="1" si="11"/>
        <v>Baja</v>
      </c>
      <c r="J104" s="3" t="str">
        <f t="shared" ca="1" si="12"/>
        <v>En curso</v>
      </c>
      <c r="K104" s="4" t="str">
        <f t="shared" ca="1" si="13"/>
        <v/>
      </c>
      <c r="L104" s="1" t="str">
        <f t="shared" ca="1" si="14"/>
        <v/>
      </c>
      <c r="M104" s="3" t="str">
        <f t="shared" ca="1" si="15"/>
        <v>Telecomunicaciones</v>
      </c>
    </row>
    <row r="105" spans="1:13" x14ac:dyDescent="0.3">
      <c r="A105" s="3">
        <f t="shared" si="9"/>
        <v>104</v>
      </c>
      <c r="B105" s="4">
        <f t="shared" ca="1" si="1"/>
        <v>45421</v>
      </c>
      <c r="C105" s="4" t="str">
        <f t="shared" ca="1" si="10"/>
        <v>2024-05</v>
      </c>
      <c r="D105" s="5">
        <f t="shared" ca="1" si="3"/>
        <v>0.93541666666666667</v>
      </c>
      <c r="E105" s="3" t="str" cm="1">
        <f t="array" aca="1" ref="E105" ca="1">INDEX(lista!$A$1:$A$12, RANDBETWEEN(1, 12))</f>
        <v>San Carlos</v>
      </c>
      <c r="F105" s="3" t="s">
        <v>24</v>
      </c>
      <c r="G105" s="3" t="str" cm="1">
        <f t="array" aca="1" ref="G105" ca="1">INDEX(lista!$B$1:$B$6, RANDBETWEEN(1, 6))</f>
        <v>Ascensor</v>
      </c>
      <c r="H105" s="3" t="str" cm="1">
        <f t="array" aca="1" ref="H105" ca="1">INDEX(lista!$C$1:$C$4, RANDBETWEEN(1, 4))</f>
        <v>Mantenimiento preventivo</v>
      </c>
      <c r="I105" s="3" t="str">
        <f t="shared" ca="1" si="11"/>
        <v>Baja</v>
      </c>
      <c r="J105" s="3" t="str">
        <f t="shared" ca="1" si="12"/>
        <v>Atendida</v>
      </c>
      <c r="K105" s="4">
        <f t="shared" ca="1" si="13"/>
        <v>45421</v>
      </c>
      <c r="L105" s="1">
        <f t="shared" ca="1" si="14"/>
        <v>14</v>
      </c>
      <c r="M105" s="3" t="str">
        <f t="shared" ca="1" si="15"/>
        <v>Mantenimiento</v>
      </c>
    </row>
    <row r="106" spans="1:13" x14ac:dyDescent="0.3">
      <c r="A106" s="3">
        <f t="shared" si="9"/>
        <v>105</v>
      </c>
      <c r="B106" s="4">
        <f t="shared" ca="1" si="1"/>
        <v>45228</v>
      </c>
      <c r="C106" s="4" t="str">
        <f t="shared" ca="1" si="10"/>
        <v>2023-10</v>
      </c>
      <c r="D106" s="5">
        <f t="shared" ca="1" si="3"/>
        <v>1.5277777777777777E-2</v>
      </c>
      <c r="E106" s="3" t="str" cm="1">
        <f t="array" aca="1" ref="E106" ca="1">INDEX(lista!$A$1:$A$12, RANDBETWEEN(1, 12))</f>
        <v>Villa El Salvador</v>
      </c>
      <c r="F106" s="3" t="s">
        <v>24</v>
      </c>
      <c r="G106" s="3" t="str" cm="1">
        <f t="array" aca="1" ref="G106" ca="1">INDEX(lista!$B$1:$B$6, RANDBETWEEN(1, 6))</f>
        <v>Ascensor</v>
      </c>
      <c r="H106" s="3" t="str" cm="1">
        <f t="array" aca="1" ref="H106" ca="1">INDEX(lista!$C$1:$C$4, RANDBETWEEN(1, 4))</f>
        <v>Daño en infraestructura</v>
      </c>
      <c r="I106" s="3" t="str">
        <f t="shared" ca="1" si="11"/>
        <v>Media</v>
      </c>
      <c r="J106" s="3" t="str">
        <f t="shared" ca="1" si="12"/>
        <v>Atendida</v>
      </c>
      <c r="K106" s="4">
        <f t="shared" ca="1" si="13"/>
        <v>45229</v>
      </c>
      <c r="L106" s="1">
        <f t="shared" ca="1" si="14"/>
        <v>23</v>
      </c>
      <c r="M106" s="3" t="str">
        <f t="shared" ca="1" si="15"/>
        <v>Mantenimiento</v>
      </c>
    </row>
    <row r="107" spans="1:13" x14ac:dyDescent="0.3">
      <c r="A107" s="3">
        <f t="shared" si="9"/>
        <v>106</v>
      </c>
      <c r="B107" s="4">
        <f t="shared" ca="1" si="1"/>
        <v>45456</v>
      </c>
      <c r="C107" s="4" t="str">
        <f t="shared" ca="1" si="10"/>
        <v>2024-06</v>
      </c>
      <c r="D107" s="5">
        <f t="shared" ca="1" si="3"/>
        <v>0.125</v>
      </c>
      <c r="E107" s="3" t="str" cm="1">
        <f t="array" aca="1" ref="E107" ca="1">INDEX(lista!$A$1:$A$12, RANDBETWEEN(1, 12))</f>
        <v>Cabitos</v>
      </c>
      <c r="F107" s="3" t="s">
        <v>24</v>
      </c>
      <c r="G107" s="3" t="str" cm="1">
        <f t="array" aca="1" ref="G107" ca="1">INDEX(lista!$B$1:$B$6, RANDBETWEEN(1, 6))</f>
        <v>Ascensor</v>
      </c>
      <c r="H107" s="3" t="str" cm="1">
        <f t="array" aca="1" ref="H107" ca="1">INDEX(lista!$C$1:$C$4, RANDBETWEEN(1, 4))</f>
        <v>Falla mecánica</v>
      </c>
      <c r="I107" s="3" t="str">
        <f t="shared" ca="1" si="11"/>
        <v>Alta</v>
      </c>
      <c r="J107" s="3" t="str">
        <f t="shared" ca="1" si="12"/>
        <v>Atendida</v>
      </c>
      <c r="K107" s="4">
        <f t="shared" ca="1" si="13"/>
        <v>45456</v>
      </c>
      <c r="L107" s="1">
        <f t="shared" ca="1" si="14"/>
        <v>2</v>
      </c>
      <c r="M107" s="3" t="str">
        <f t="shared" ca="1" si="15"/>
        <v>Mantenimiento</v>
      </c>
    </row>
    <row r="108" spans="1:13" x14ac:dyDescent="0.3">
      <c r="A108" s="3">
        <f t="shared" si="9"/>
        <v>107</v>
      </c>
      <c r="B108" s="4">
        <f t="shared" ca="1" si="1"/>
        <v>45411</v>
      </c>
      <c r="C108" s="4" t="str">
        <f t="shared" ca="1" si="10"/>
        <v>2024-04</v>
      </c>
      <c r="D108" s="5">
        <f t="shared" ca="1" si="3"/>
        <v>0.34236111111111112</v>
      </c>
      <c r="E108" s="3" t="str" cm="1">
        <f t="array" aca="1" ref="E108" ca="1">INDEX(lista!$A$1:$A$12, RANDBETWEEN(1, 12))</f>
        <v>San Carlos</v>
      </c>
      <c r="F108" s="3" t="s">
        <v>24</v>
      </c>
      <c r="G108" s="3" t="str" cm="1">
        <f t="array" aca="1" ref="G108" ca="1">INDEX(lista!$B$1:$B$6, RANDBETWEEN(1, 6))</f>
        <v>Ascensor</v>
      </c>
      <c r="H108" s="3" t="str" cm="1">
        <f t="array" aca="1" ref="H108" ca="1">INDEX(lista!$C$1:$C$4, RANDBETWEEN(1, 4))</f>
        <v>Falla mecánica</v>
      </c>
      <c r="I108" s="3" t="str">
        <f t="shared" ca="1" si="11"/>
        <v>Alta</v>
      </c>
      <c r="J108" s="3" t="str">
        <f t="shared" ca="1" si="12"/>
        <v>En curso</v>
      </c>
      <c r="K108" s="4" t="str">
        <f t="shared" ca="1" si="13"/>
        <v/>
      </c>
      <c r="L108" s="1" t="str">
        <f t="shared" ca="1" si="14"/>
        <v/>
      </c>
      <c r="M108" s="3" t="str">
        <f t="shared" ca="1" si="15"/>
        <v>Mantenimiento</v>
      </c>
    </row>
    <row r="109" spans="1:13" x14ac:dyDescent="0.3">
      <c r="A109" s="3">
        <f t="shared" si="9"/>
        <v>108</v>
      </c>
      <c r="B109" s="4">
        <f t="shared" ca="1" si="1"/>
        <v>45496</v>
      </c>
      <c r="C109" s="4" t="str">
        <f t="shared" ca="1" si="10"/>
        <v>2024-07</v>
      </c>
      <c r="D109" s="5">
        <f t="shared" ca="1" si="3"/>
        <v>0.44583333333333336</v>
      </c>
      <c r="E109" s="3" t="str" cm="1">
        <f t="array" aca="1" ref="E109" ca="1">INDEX(lista!$A$1:$A$12, RANDBETWEEN(1, 12))</f>
        <v>Gamarra</v>
      </c>
      <c r="F109" s="3" t="s">
        <v>24</v>
      </c>
      <c r="G109" s="3" t="str" cm="1">
        <f t="array" aca="1" ref="G109" ca="1">INDEX(lista!$B$1:$B$6, RANDBETWEEN(1, 6))</f>
        <v>Torniquete</v>
      </c>
      <c r="H109" s="3" t="str" cm="1">
        <f t="array" aca="1" ref="H109" ca="1">INDEX(lista!$C$1:$C$4, RANDBETWEEN(1, 4))</f>
        <v>Mantenimiento preventivo</v>
      </c>
      <c r="I109" s="3" t="str">
        <f t="shared" ca="1" si="11"/>
        <v>Media</v>
      </c>
      <c r="J109" s="3" t="str">
        <f t="shared" ca="1" si="12"/>
        <v>En curso</v>
      </c>
      <c r="K109" s="4" t="str">
        <f t="shared" ca="1" si="13"/>
        <v/>
      </c>
      <c r="L109" s="1" t="str">
        <f t="shared" ca="1" si="14"/>
        <v/>
      </c>
      <c r="M109" s="3" t="str">
        <f t="shared" ca="1" si="15"/>
        <v>Telecomunicaciones</v>
      </c>
    </row>
    <row r="110" spans="1:13" x14ac:dyDescent="0.3">
      <c r="A110" s="3">
        <f t="shared" si="9"/>
        <v>109</v>
      </c>
      <c r="B110" s="4">
        <f t="shared" ca="1" si="1"/>
        <v>45285</v>
      </c>
      <c r="C110" s="4" t="str">
        <f t="shared" ca="1" si="10"/>
        <v>2023-12</v>
      </c>
      <c r="D110" s="5">
        <f t="shared" ca="1" si="3"/>
        <v>0.12152777777777778</v>
      </c>
      <c r="E110" s="3" t="str" cm="1">
        <f t="array" aca="1" ref="E110" ca="1">INDEX(lista!$A$1:$A$12, RANDBETWEEN(1, 12))</f>
        <v>Santa Rosa</v>
      </c>
      <c r="F110" s="3" t="s">
        <v>24</v>
      </c>
      <c r="G110" s="3" t="str" cm="1">
        <f t="array" aca="1" ref="G110" ca="1">INDEX(lista!$B$1:$B$6, RANDBETWEEN(1, 6))</f>
        <v>MET</v>
      </c>
      <c r="H110" s="3" t="str" cm="1">
        <f t="array" aca="1" ref="H110" ca="1">INDEX(lista!$C$1:$C$4, RANDBETWEEN(1, 4))</f>
        <v>Falla eléctrica</v>
      </c>
      <c r="I110" s="3" t="str">
        <f t="shared" ca="1" si="11"/>
        <v>Media</v>
      </c>
      <c r="J110" s="3" t="str">
        <f t="shared" ca="1" si="12"/>
        <v>Atendida</v>
      </c>
      <c r="K110" s="4">
        <f t="shared" ca="1" si="13"/>
        <v>45287</v>
      </c>
      <c r="L110" s="1">
        <f t="shared" ca="1" si="14"/>
        <v>9</v>
      </c>
      <c r="M110" s="3" t="str">
        <f t="shared" ca="1" si="15"/>
        <v>Telecomunicaciones</v>
      </c>
    </row>
    <row r="111" spans="1:13" x14ac:dyDescent="0.3">
      <c r="A111" s="3">
        <f t="shared" si="9"/>
        <v>110</v>
      </c>
      <c r="B111" s="4">
        <f t="shared" ca="1" si="1"/>
        <v>45084</v>
      </c>
      <c r="C111" s="4" t="str">
        <f t="shared" ca="1" si="10"/>
        <v>2023-06</v>
      </c>
      <c r="D111" s="5">
        <f t="shared" ca="1" si="3"/>
        <v>0.79652777777777772</v>
      </c>
      <c r="E111" s="3" t="str" cm="1">
        <f t="array" aca="1" ref="E111" ca="1">INDEX(lista!$A$1:$A$12, RANDBETWEEN(1, 12))</f>
        <v>La Cultura</v>
      </c>
      <c r="F111" s="3" t="s">
        <v>24</v>
      </c>
      <c r="G111" s="3" t="str" cm="1">
        <f t="array" aca="1" ref="G111" ca="1">INDEX(lista!$B$1:$B$6, RANDBETWEEN(1, 6))</f>
        <v>Radio</v>
      </c>
      <c r="H111" s="3" t="str" cm="1">
        <f t="array" aca="1" ref="H111" ca="1">INDEX(lista!$C$1:$C$4, RANDBETWEEN(1, 4))</f>
        <v>Mantenimiento preventivo</v>
      </c>
      <c r="I111" s="3" t="str">
        <f t="shared" ca="1" si="11"/>
        <v>Media</v>
      </c>
      <c r="J111" s="3" t="str">
        <f t="shared" ca="1" si="12"/>
        <v>Atendida</v>
      </c>
      <c r="K111" s="4">
        <f t="shared" ca="1" si="13"/>
        <v>45085</v>
      </c>
      <c r="L111" s="1">
        <f t="shared" ca="1" si="14"/>
        <v>15</v>
      </c>
      <c r="M111" s="3" t="str">
        <f t="shared" ca="1" si="15"/>
        <v>Telecomunicaciones</v>
      </c>
    </row>
    <row r="112" spans="1:13" x14ac:dyDescent="0.3">
      <c r="A112" s="3">
        <f t="shared" si="9"/>
        <v>111</v>
      </c>
      <c r="B112" s="4">
        <f t="shared" ca="1" si="1"/>
        <v>45300</v>
      </c>
      <c r="C112" s="4" t="str">
        <f t="shared" ca="1" si="10"/>
        <v>2024-01</v>
      </c>
      <c r="D112" s="5">
        <f t="shared" ca="1" si="3"/>
        <v>0.46736111111111112</v>
      </c>
      <c r="E112" s="3" t="str" cm="1">
        <f t="array" aca="1" ref="E112" ca="1">INDEX(lista!$A$1:$A$12, RANDBETWEEN(1, 12))</f>
        <v>San Borja Sur</v>
      </c>
      <c r="F112" s="3" t="s">
        <v>24</v>
      </c>
      <c r="G112" s="3" t="str" cm="1">
        <f t="array" aca="1" ref="G112" ca="1">INDEX(lista!$B$1:$B$6, RANDBETWEEN(1, 6))</f>
        <v>Torniquete</v>
      </c>
      <c r="H112" s="3" t="str" cm="1">
        <f t="array" aca="1" ref="H112" ca="1">INDEX(lista!$C$1:$C$4, RANDBETWEEN(1, 4))</f>
        <v>Falla eléctrica</v>
      </c>
      <c r="I112" s="3" t="str">
        <f t="shared" ca="1" si="11"/>
        <v>Media</v>
      </c>
      <c r="J112" s="3" t="str">
        <f t="shared" ca="1" si="12"/>
        <v>Atendida</v>
      </c>
      <c r="K112" s="4">
        <f t="shared" ca="1" si="13"/>
        <v>45302</v>
      </c>
      <c r="L112" s="1">
        <f t="shared" ca="1" si="14"/>
        <v>1</v>
      </c>
      <c r="M112" s="3" t="str">
        <f t="shared" ca="1" si="15"/>
        <v>Telecomunicaciones</v>
      </c>
    </row>
    <row r="113" spans="1:13" x14ac:dyDescent="0.3">
      <c r="A113" s="3">
        <f t="shared" si="9"/>
        <v>112</v>
      </c>
      <c r="B113" s="4">
        <f t="shared" ca="1" si="1"/>
        <v>45525</v>
      </c>
      <c r="C113" s="4" t="str">
        <f t="shared" ca="1" si="10"/>
        <v>2024-08</v>
      </c>
      <c r="D113" s="5">
        <f t="shared" ca="1" si="3"/>
        <v>0.10277777777777777</v>
      </c>
      <c r="E113" s="3" t="str" cm="1">
        <f t="array" aca="1" ref="E113" ca="1">INDEX(lista!$A$1:$A$12, RANDBETWEEN(1, 12))</f>
        <v>Atocongo</v>
      </c>
      <c r="F113" s="3" t="s">
        <v>24</v>
      </c>
      <c r="G113" s="3" t="str" cm="1">
        <f t="array" aca="1" ref="G113" ca="1">INDEX(lista!$B$1:$B$6, RANDBETWEEN(1, 6))</f>
        <v>MET</v>
      </c>
      <c r="H113" s="3" t="str" cm="1">
        <f t="array" aca="1" ref="H113" ca="1">INDEX(lista!$C$1:$C$4, RANDBETWEEN(1, 4))</f>
        <v>Falla mecánica</v>
      </c>
      <c r="I113" s="3" t="str">
        <f t="shared" ca="1" si="11"/>
        <v>Alta</v>
      </c>
      <c r="J113" s="3" t="str">
        <f t="shared" ca="1" si="12"/>
        <v>Atendida</v>
      </c>
      <c r="K113" s="4">
        <f t="shared" ca="1" si="13"/>
        <v>45525</v>
      </c>
      <c r="L113" s="1">
        <f t="shared" ca="1" si="14"/>
        <v>21</v>
      </c>
      <c r="M113" s="3" t="str">
        <f t="shared" ca="1" si="15"/>
        <v>Telecomunicaciones</v>
      </c>
    </row>
    <row r="114" spans="1:13" x14ac:dyDescent="0.3">
      <c r="A114" s="3">
        <f t="shared" si="9"/>
        <v>113</v>
      </c>
      <c r="B114" s="4">
        <f t="shared" ca="1" si="1"/>
        <v>45541</v>
      </c>
      <c r="C114" s="4" t="str">
        <f t="shared" ca="1" si="10"/>
        <v>2024-09</v>
      </c>
      <c r="D114" s="5">
        <f t="shared" ca="1" si="3"/>
        <v>0.49444444444444441</v>
      </c>
      <c r="E114" s="3" t="str" cm="1">
        <f t="array" aca="1" ref="E114" ca="1">INDEX(lista!$A$1:$A$12, RANDBETWEEN(1, 12))</f>
        <v>Gamarra</v>
      </c>
      <c r="F114" s="3" t="s">
        <v>24</v>
      </c>
      <c r="G114" s="3" t="str" cm="1">
        <f t="array" aca="1" ref="G114" ca="1">INDEX(lista!$B$1:$B$6, RANDBETWEEN(1, 6))</f>
        <v>Torniquete</v>
      </c>
      <c r="H114" s="3" t="str" cm="1">
        <f t="array" aca="1" ref="H114" ca="1">INDEX(lista!$C$1:$C$4, RANDBETWEEN(1, 4))</f>
        <v>Falla mecánica</v>
      </c>
      <c r="I114" s="3" t="str">
        <f t="shared" ca="1" si="11"/>
        <v>Media</v>
      </c>
      <c r="J114" s="3" t="str">
        <f t="shared" ca="1" si="12"/>
        <v>Pendiente</v>
      </c>
      <c r="K114" s="4" t="str">
        <f t="shared" ca="1" si="13"/>
        <v/>
      </c>
      <c r="L114" s="1" t="str">
        <f t="shared" ca="1" si="14"/>
        <v/>
      </c>
      <c r="M114" s="3" t="str">
        <f t="shared" ca="1" si="15"/>
        <v>Telecomunicaciones</v>
      </c>
    </row>
    <row r="115" spans="1:13" x14ac:dyDescent="0.3">
      <c r="A115" s="3">
        <f t="shared" si="9"/>
        <v>114</v>
      </c>
      <c r="B115" s="4">
        <f t="shared" ca="1" si="1"/>
        <v>45241</v>
      </c>
      <c r="C115" s="4" t="str">
        <f t="shared" ca="1" si="10"/>
        <v>2023-11</v>
      </c>
      <c r="D115" s="5">
        <f t="shared" ca="1" si="3"/>
        <v>0.92083333333333328</v>
      </c>
      <c r="E115" s="3" t="str" cm="1">
        <f t="array" aca="1" ref="E115" ca="1">INDEX(lista!$A$1:$A$12, RANDBETWEEN(1, 12))</f>
        <v>Gamarra</v>
      </c>
      <c r="F115" s="3" t="s">
        <v>24</v>
      </c>
      <c r="G115" s="3" t="str" cm="1">
        <f t="array" aca="1" ref="G115" ca="1">INDEX(lista!$B$1:$B$6, RANDBETWEEN(1, 6))</f>
        <v>Escalera eléctrica</v>
      </c>
      <c r="H115" s="3" t="str" cm="1">
        <f t="array" aca="1" ref="H115" ca="1">INDEX(lista!$C$1:$C$4, RANDBETWEEN(1, 4))</f>
        <v>Daño en infraestructura</v>
      </c>
      <c r="I115" s="3" t="str">
        <f t="shared" ca="1" si="11"/>
        <v>Media</v>
      </c>
      <c r="J115" s="3" t="str">
        <f t="shared" ca="1" si="12"/>
        <v>Atendida</v>
      </c>
      <c r="K115" s="4">
        <f t="shared" ca="1" si="13"/>
        <v>45243</v>
      </c>
      <c r="L115" s="1">
        <f t="shared" ca="1" si="14"/>
        <v>21</v>
      </c>
      <c r="M115" s="3" t="str">
        <f t="shared" ca="1" si="15"/>
        <v>Mantenimiento</v>
      </c>
    </row>
    <row r="116" spans="1:13" x14ac:dyDescent="0.3">
      <c r="A116" s="3">
        <f t="shared" si="9"/>
        <v>115</v>
      </c>
      <c r="B116" s="4">
        <f t="shared" ca="1" si="1"/>
        <v>45595</v>
      </c>
      <c r="C116" s="4" t="str">
        <f t="shared" ca="1" si="10"/>
        <v>2024-10</v>
      </c>
      <c r="D116" s="5">
        <f t="shared" ca="1" si="3"/>
        <v>0.28333333333333333</v>
      </c>
      <c r="E116" s="3" t="str" cm="1">
        <f t="array" aca="1" ref="E116" ca="1">INDEX(lista!$A$1:$A$12, RANDBETWEEN(1, 12))</f>
        <v>Bayóvar</v>
      </c>
      <c r="F116" s="3" t="s">
        <v>24</v>
      </c>
      <c r="G116" s="3" t="str" cm="1">
        <f t="array" aca="1" ref="G116" ca="1">INDEX(lista!$B$1:$B$6, RANDBETWEEN(1, 6))</f>
        <v>Escalera eléctrica</v>
      </c>
      <c r="H116" s="3" t="str" cm="1">
        <f t="array" aca="1" ref="H116" ca="1">INDEX(lista!$C$1:$C$4, RANDBETWEEN(1, 4))</f>
        <v>Falla eléctrica</v>
      </c>
      <c r="I116" s="3" t="str">
        <f t="shared" ca="1" si="11"/>
        <v>Media</v>
      </c>
      <c r="J116" s="3" t="str">
        <f t="shared" ca="1" si="12"/>
        <v>Atendida</v>
      </c>
      <c r="K116" s="4">
        <f t="shared" ca="1" si="13"/>
        <v>45597</v>
      </c>
      <c r="L116" s="1">
        <f t="shared" ca="1" si="14"/>
        <v>2</v>
      </c>
      <c r="M116" s="3" t="str">
        <f t="shared" ca="1" si="15"/>
        <v>Mantenimiento</v>
      </c>
    </row>
    <row r="117" spans="1:13" x14ac:dyDescent="0.3">
      <c r="A117" s="3">
        <f t="shared" si="9"/>
        <v>116</v>
      </c>
      <c r="B117" s="4">
        <f t="shared" ca="1" si="1"/>
        <v>45093</v>
      </c>
      <c r="C117" s="4" t="str">
        <f t="shared" ca="1" si="10"/>
        <v>2023-06</v>
      </c>
      <c r="D117" s="5">
        <f t="shared" ca="1" si="3"/>
        <v>0.94652777777777775</v>
      </c>
      <c r="E117" s="3" t="str" cm="1">
        <f t="array" aca="1" ref="E117" ca="1">INDEX(lista!$A$1:$A$12, RANDBETWEEN(1, 12))</f>
        <v>La Cultura</v>
      </c>
      <c r="F117" s="3" t="s">
        <v>24</v>
      </c>
      <c r="G117" s="3" t="str" cm="1">
        <f t="array" aca="1" ref="G117" ca="1">INDEX(lista!$B$1:$B$6, RANDBETWEEN(1, 6))</f>
        <v>TVM</v>
      </c>
      <c r="H117" s="3" t="str" cm="1">
        <f t="array" aca="1" ref="H117" ca="1">INDEX(lista!$C$1:$C$4, RANDBETWEEN(1, 4))</f>
        <v>Daño en infraestructura</v>
      </c>
      <c r="I117" s="3" t="str">
        <f t="shared" ca="1" si="11"/>
        <v>Baja</v>
      </c>
      <c r="J117" s="3" t="str">
        <f t="shared" ca="1" si="12"/>
        <v>Atendida</v>
      </c>
      <c r="K117" s="4">
        <f t="shared" ca="1" si="13"/>
        <v>45095</v>
      </c>
      <c r="L117" s="1">
        <f t="shared" ca="1" si="14"/>
        <v>16</v>
      </c>
      <c r="M117" s="3" t="str">
        <f t="shared" ca="1" si="15"/>
        <v>Telecomunicaciones</v>
      </c>
    </row>
    <row r="118" spans="1:13" x14ac:dyDescent="0.3">
      <c r="A118" s="3">
        <f t="shared" si="9"/>
        <v>117</v>
      </c>
      <c r="B118" s="4">
        <f t="shared" ca="1" si="1"/>
        <v>45288</v>
      </c>
      <c r="C118" s="4" t="str">
        <f t="shared" ca="1" si="10"/>
        <v>2023-12</v>
      </c>
      <c r="D118" s="5">
        <f t="shared" ca="1" si="3"/>
        <v>0.45277777777777778</v>
      </c>
      <c r="E118" s="3" t="str" cm="1">
        <f t="array" aca="1" ref="E118" ca="1">INDEX(lista!$A$1:$A$12, RANDBETWEEN(1, 12))</f>
        <v>Ayacucho</v>
      </c>
      <c r="F118" s="3" t="s">
        <v>24</v>
      </c>
      <c r="G118" s="3" t="str" cm="1">
        <f t="array" aca="1" ref="G118" ca="1">INDEX(lista!$B$1:$B$6, RANDBETWEEN(1, 6))</f>
        <v>Ascensor</v>
      </c>
      <c r="H118" s="3" t="str" cm="1">
        <f t="array" aca="1" ref="H118" ca="1">INDEX(lista!$C$1:$C$4, RANDBETWEEN(1, 4))</f>
        <v>Falla eléctrica</v>
      </c>
      <c r="I118" s="3" t="str">
        <f t="shared" ca="1" si="11"/>
        <v>Media</v>
      </c>
      <c r="J118" s="3" t="str">
        <f t="shared" ca="1" si="12"/>
        <v>Pendiente</v>
      </c>
      <c r="K118" s="4" t="str">
        <f t="shared" ca="1" si="13"/>
        <v/>
      </c>
      <c r="L118" s="1" t="str">
        <f t="shared" ca="1" si="14"/>
        <v/>
      </c>
      <c r="M118" s="3" t="str">
        <f t="shared" ca="1" si="15"/>
        <v>Mantenimiento</v>
      </c>
    </row>
    <row r="119" spans="1:13" x14ac:dyDescent="0.3">
      <c r="A119" s="3">
        <f t="shared" si="9"/>
        <v>118</v>
      </c>
      <c r="B119" s="4">
        <f t="shared" ca="1" si="1"/>
        <v>45062</v>
      </c>
      <c r="C119" s="4" t="str">
        <f t="shared" ca="1" si="10"/>
        <v>2023-05</v>
      </c>
      <c r="D119" s="5">
        <f t="shared" ca="1" si="3"/>
        <v>0.95694444444444438</v>
      </c>
      <c r="E119" s="3" t="str" cm="1">
        <f t="array" aca="1" ref="E119" ca="1">INDEX(lista!$A$1:$A$12, RANDBETWEEN(1, 12))</f>
        <v>Ayacucho</v>
      </c>
      <c r="F119" s="3" t="s">
        <v>24</v>
      </c>
      <c r="G119" s="3" t="str" cm="1">
        <f t="array" aca="1" ref="G119" ca="1">INDEX(lista!$B$1:$B$6, RANDBETWEEN(1, 6))</f>
        <v>Ascensor</v>
      </c>
      <c r="H119" s="3" t="str" cm="1">
        <f t="array" aca="1" ref="H119" ca="1">INDEX(lista!$C$1:$C$4, RANDBETWEEN(1, 4))</f>
        <v>Mantenimiento preventivo</v>
      </c>
      <c r="I119" s="3" t="str">
        <f t="shared" ca="1" si="11"/>
        <v>Alta</v>
      </c>
      <c r="J119" s="3" t="str">
        <f t="shared" ca="1" si="12"/>
        <v>En curso</v>
      </c>
      <c r="K119" s="4" t="str">
        <f t="shared" ca="1" si="13"/>
        <v/>
      </c>
      <c r="L119" s="1" t="str">
        <f t="shared" ca="1" si="14"/>
        <v/>
      </c>
      <c r="M119" s="3" t="str">
        <f t="shared" ca="1" si="15"/>
        <v>Mantenimiento</v>
      </c>
    </row>
    <row r="120" spans="1:13" x14ac:dyDescent="0.3">
      <c r="A120" s="3">
        <f t="shared" si="9"/>
        <v>119</v>
      </c>
      <c r="B120" s="4">
        <f t="shared" ca="1" si="1"/>
        <v>45611</v>
      </c>
      <c r="C120" s="4" t="str">
        <f t="shared" ca="1" si="10"/>
        <v>2024-11</v>
      </c>
      <c r="D120" s="5">
        <f t="shared" ca="1" si="3"/>
        <v>0.69861111111111107</v>
      </c>
      <c r="E120" s="3" t="str" cm="1">
        <f t="array" aca="1" ref="E120" ca="1">INDEX(lista!$A$1:$A$12, RANDBETWEEN(1, 12))</f>
        <v>Villa El Salvador</v>
      </c>
      <c r="F120" s="3" t="s">
        <v>24</v>
      </c>
      <c r="G120" s="3" t="str" cm="1">
        <f t="array" aca="1" ref="G120" ca="1">INDEX(lista!$B$1:$B$6, RANDBETWEEN(1, 6))</f>
        <v>Escalera eléctrica</v>
      </c>
      <c r="H120" s="3" t="str" cm="1">
        <f t="array" aca="1" ref="H120" ca="1">INDEX(lista!$C$1:$C$4, RANDBETWEEN(1, 4))</f>
        <v>Mantenimiento preventivo</v>
      </c>
      <c r="I120" s="3" t="str">
        <f t="shared" ca="1" si="11"/>
        <v>Baja</v>
      </c>
      <c r="J120" s="3" t="str">
        <f t="shared" ca="1" si="12"/>
        <v>Atendida</v>
      </c>
      <c r="K120" s="4">
        <f t="shared" ca="1" si="13"/>
        <v>45613</v>
      </c>
      <c r="L120" s="1">
        <f t="shared" ca="1" si="14"/>
        <v>5</v>
      </c>
      <c r="M120" s="3" t="str">
        <f t="shared" ca="1" si="15"/>
        <v>Mantenimiento</v>
      </c>
    </row>
    <row r="121" spans="1:13" x14ac:dyDescent="0.3">
      <c r="A121" s="3">
        <f t="shared" si="9"/>
        <v>120</v>
      </c>
      <c r="B121" s="4">
        <f t="shared" ca="1" si="1"/>
        <v>45386</v>
      </c>
      <c r="C121" s="4" t="str">
        <f t="shared" ca="1" si="10"/>
        <v>2024-04</v>
      </c>
      <c r="D121" s="5">
        <f t="shared" ca="1" si="3"/>
        <v>0.78472222222222221</v>
      </c>
      <c r="E121" s="3" t="str" cm="1">
        <f t="array" aca="1" ref="E121" ca="1">INDEX(lista!$A$1:$A$12, RANDBETWEEN(1, 12))</f>
        <v>Angamos</v>
      </c>
      <c r="F121" s="3" t="s">
        <v>24</v>
      </c>
      <c r="G121" s="3" t="str" cm="1">
        <f t="array" aca="1" ref="G121" ca="1">INDEX(lista!$B$1:$B$6, RANDBETWEEN(1, 6))</f>
        <v>TVM</v>
      </c>
      <c r="H121" s="3" t="str" cm="1">
        <f t="array" aca="1" ref="H121" ca="1">INDEX(lista!$C$1:$C$4, RANDBETWEEN(1, 4))</f>
        <v>Falla mecánica</v>
      </c>
      <c r="I121" s="3" t="str">
        <f t="shared" ca="1" si="11"/>
        <v>Baja</v>
      </c>
      <c r="J121" s="3" t="str">
        <f t="shared" ca="1" si="12"/>
        <v>En curso</v>
      </c>
      <c r="K121" s="4" t="str">
        <f t="shared" ca="1" si="13"/>
        <v/>
      </c>
      <c r="L121" s="1" t="str">
        <f t="shared" ca="1" si="14"/>
        <v/>
      </c>
      <c r="M121" s="3" t="str">
        <f t="shared" ca="1" si="15"/>
        <v>Telecomunicaciones</v>
      </c>
    </row>
    <row r="122" spans="1:13" x14ac:dyDescent="0.3">
      <c r="A122" s="3">
        <f t="shared" si="9"/>
        <v>121</v>
      </c>
      <c r="B122" s="4">
        <f t="shared" ca="1" si="1"/>
        <v>44943</v>
      </c>
      <c r="C122" s="4" t="str">
        <f t="shared" ca="1" si="10"/>
        <v>2023-01</v>
      </c>
      <c r="D122" s="5">
        <f t="shared" ca="1" si="3"/>
        <v>0.87083333333333335</v>
      </c>
      <c r="E122" s="3" t="str" cm="1">
        <f t="array" aca="1" ref="E122" ca="1">INDEX(lista!$A$1:$A$12, RANDBETWEEN(1, 12))</f>
        <v>Gamarra</v>
      </c>
      <c r="F122" s="3" t="s">
        <v>24</v>
      </c>
      <c r="G122" s="3" t="str" cm="1">
        <f t="array" aca="1" ref="G122" ca="1">INDEX(lista!$B$1:$B$6, RANDBETWEEN(1, 6))</f>
        <v>Radio</v>
      </c>
      <c r="H122" s="3" t="str" cm="1">
        <f t="array" aca="1" ref="H122" ca="1">INDEX(lista!$C$1:$C$4, RANDBETWEEN(1, 4))</f>
        <v>Daño en infraestructura</v>
      </c>
      <c r="I122" s="3" t="str">
        <f t="shared" ca="1" si="11"/>
        <v>Media</v>
      </c>
      <c r="J122" s="3" t="str">
        <f t="shared" ca="1" si="12"/>
        <v>Atendida</v>
      </c>
      <c r="K122" s="4">
        <f t="shared" ca="1" si="13"/>
        <v>44945</v>
      </c>
      <c r="L122" s="1">
        <f t="shared" ca="1" si="14"/>
        <v>18</v>
      </c>
      <c r="M122" s="3" t="str">
        <f t="shared" ca="1" si="15"/>
        <v>Telecomunicaciones</v>
      </c>
    </row>
    <row r="123" spans="1:13" x14ac:dyDescent="0.3">
      <c r="A123" s="3">
        <f t="shared" si="9"/>
        <v>122</v>
      </c>
      <c r="B123" s="4">
        <f t="shared" ca="1" si="1"/>
        <v>45611</v>
      </c>
      <c r="C123" s="4" t="str">
        <f t="shared" ca="1" si="10"/>
        <v>2024-11</v>
      </c>
      <c r="D123" s="5">
        <f t="shared" ca="1" si="3"/>
        <v>0.26597222222222222</v>
      </c>
      <c r="E123" s="3" t="str" cm="1">
        <f t="array" aca="1" ref="E123" ca="1">INDEX(lista!$A$1:$A$12, RANDBETWEEN(1, 12))</f>
        <v>Atocongo</v>
      </c>
      <c r="F123" s="3" t="s">
        <v>24</v>
      </c>
      <c r="G123" s="3" t="str" cm="1">
        <f t="array" aca="1" ref="G123" ca="1">INDEX(lista!$B$1:$B$6, RANDBETWEEN(1, 6))</f>
        <v>TVM</v>
      </c>
      <c r="H123" s="3" t="str" cm="1">
        <f t="array" aca="1" ref="H123" ca="1">INDEX(lista!$C$1:$C$4, RANDBETWEEN(1, 4))</f>
        <v>Falla eléctrica</v>
      </c>
      <c r="I123" s="3" t="str">
        <f t="shared" ca="1" si="11"/>
        <v>Media</v>
      </c>
      <c r="J123" s="3" t="str">
        <f t="shared" ca="1" si="12"/>
        <v>Atendida</v>
      </c>
      <c r="K123" s="4">
        <f t="shared" ca="1" si="13"/>
        <v>45611</v>
      </c>
      <c r="L123" s="1">
        <f t="shared" ca="1" si="14"/>
        <v>17</v>
      </c>
      <c r="M123" s="3" t="str">
        <f t="shared" ca="1" si="15"/>
        <v>Telecomunicaciones</v>
      </c>
    </row>
    <row r="124" spans="1:13" x14ac:dyDescent="0.3">
      <c r="A124" s="3">
        <f t="shared" si="9"/>
        <v>123</v>
      </c>
      <c r="B124" s="4">
        <f t="shared" ca="1" si="1"/>
        <v>45345</v>
      </c>
      <c r="C124" s="4" t="str">
        <f t="shared" ca="1" si="10"/>
        <v>2024-02</v>
      </c>
      <c r="D124" s="5">
        <f t="shared" ca="1" si="3"/>
        <v>0.4513888888888889</v>
      </c>
      <c r="E124" s="3" t="str" cm="1">
        <f t="array" aca="1" ref="E124" ca="1">INDEX(lista!$A$1:$A$12, RANDBETWEEN(1, 12))</f>
        <v>Villa El Salvador</v>
      </c>
      <c r="F124" s="3" t="s">
        <v>24</v>
      </c>
      <c r="G124" s="3" t="str" cm="1">
        <f t="array" aca="1" ref="G124" ca="1">INDEX(lista!$B$1:$B$6, RANDBETWEEN(1, 6))</f>
        <v>MET</v>
      </c>
      <c r="H124" s="3" t="str" cm="1">
        <f t="array" aca="1" ref="H124" ca="1">INDEX(lista!$C$1:$C$4, RANDBETWEEN(1, 4))</f>
        <v>Daño en infraestructura</v>
      </c>
      <c r="I124" s="3" t="str">
        <f t="shared" ca="1" si="11"/>
        <v>Baja</v>
      </c>
      <c r="J124" s="3" t="str">
        <f t="shared" ca="1" si="12"/>
        <v>Pendiente</v>
      </c>
      <c r="K124" s="4" t="str">
        <f t="shared" ca="1" si="13"/>
        <v/>
      </c>
      <c r="L124" s="1" t="str">
        <f t="shared" ca="1" si="14"/>
        <v/>
      </c>
      <c r="M124" s="3" t="str">
        <f t="shared" ca="1" si="15"/>
        <v>Telecomunicaciones</v>
      </c>
    </row>
    <row r="125" spans="1:13" x14ac:dyDescent="0.3">
      <c r="A125" s="3">
        <f t="shared" si="9"/>
        <v>124</v>
      </c>
      <c r="B125" s="4">
        <f t="shared" ca="1" si="1"/>
        <v>45436</v>
      </c>
      <c r="C125" s="4" t="str">
        <f t="shared" ca="1" si="10"/>
        <v>2024-05</v>
      </c>
      <c r="D125" s="5">
        <f t="shared" ca="1" si="3"/>
        <v>0.53402777777777777</v>
      </c>
      <c r="E125" s="3" t="str" cm="1">
        <f t="array" aca="1" ref="E125" ca="1">INDEX(lista!$A$1:$A$12, RANDBETWEEN(1, 12))</f>
        <v>Pumacahua</v>
      </c>
      <c r="F125" s="3" t="s">
        <v>24</v>
      </c>
      <c r="G125" s="3" t="str" cm="1">
        <f t="array" aca="1" ref="G125" ca="1">INDEX(lista!$B$1:$B$6, RANDBETWEEN(1, 6))</f>
        <v>Ascensor</v>
      </c>
      <c r="H125" s="3" t="str" cm="1">
        <f t="array" aca="1" ref="H125" ca="1">INDEX(lista!$C$1:$C$4, RANDBETWEEN(1, 4))</f>
        <v>Falla mecánica</v>
      </c>
      <c r="I125" s="3" t="str">
        <f t="shared" ca="1" si="11"/>
        <v>Media</v>
      </c>
      <c r="J125" s="3" t="str">
        <f t="shared" ca="1" si="12"/>
        <v>Atendida</v>
      </c>
      <c r="K125" s="4">
        <f t="shared" ca="1" si="13"/>
        <v>45438</v>
      </c>
      <c r="L125" s="1">
        <f t="shared" ca="1" si="14"/>
        <v>10</v>
      </c>
      <c r="M125" s="3" t="str">
        <f t="shared" ca="1" si="15"/>
        <v>Mantenimiento</v>
      </c>
    </row>
    <row r="126" spans="1:13" x14ac:dyDescent="0.3">
      <c r="A126" s="3">
        <f t="shared" si="9"/>
        <v>125</v>
      </c>
      <c r="B126" s="4">
        <f t="shared" ca="1" si="1"/>
        <v>45115</v>
      </c>
      <c r="C126" s="4" t="str">
        <f t="shared" ca="1" si="10"/>
        <v>2023-07</v>
      </c>
      <c r="D126" s="5">
        <f t="shared" ca="1" si="3"/>
        <v>0.57777777777777772</v>
      </c>
      <c r="E126" s="3" t="str" cm="1">
        <f t="array" aca="1" ref="E126" ca="1">INDEX(lista!$A$1:$A$12, RANDBETWEEN(1, 12))</f>
        <v>Bayóvar</v>
      </c>
      <c r="F126" s="3" t="s">
        <v>24</v>
      </c>
      <c r="G126" s="3" t="str" cm="1">
        <f t="array" aca="1" ref="G126" ca="1">INDEX(lista!$B$1:$B$6, RANDBETWEEN(1, 6))</f>
        <v>MET</v>
      </c>
      <c r="H126" s="3" t="str" cm="1">
        <f t="array" aca="1" ref="H126" ca="1">INDEX(lista!$C$1:$C$4, RANDBETWEEN(1, 4))</f>
        <v>Daño en infraestructura</v>
      </c>
      <c r="I126" s="3" t="str">
        <f t="shared" ca="1" si="11"/>
        <v>Media</v>
      </c>
      <c r="J126" s="3" t="str">
        <f t="shared" ca="1" si="12"/>
        <v>Atendida</v>
      </c>
      <c r="K126" s="4">
        <f t="shared" ca="1" si="13"/>
        <v>45117</v>
      </c>
      <c r="L126" s="1">
        <f t="shared" ca="1" si="14"/>
        <v>2</v>
      </c>
      <c r="M126" s="3" t="str">
        <f t="shared" ca="1" si="15"/>
        <v>Telecomunicaciones</v>
      </c>
    </row>
    <row r="127" spans="1:13" x14ac:dyDescent="0.3">
      <c r="A127" s="3">
        <f t="shared" si="9"/>
        <v>126</v>
      </c>
      <c r="B127" s="4">
        <f t="shared" ca="1" si="1"/>
        <v>45450</v>
      </c>
      <c r="C127" s="4" t="str">
        <f t="shared" ca="1" si="10"/>
        <v>2024-06</v>
      </c>
      <c r="D127" s="5">
        <f t="shared" ca="1" si="3"/>
        <v>0.4236111111111111</v>
      </c>
      <c r="E127" s="3" t="str" cm="1">
        <f t="array" aca="1" ref="E127" ca="1">INDEX(lista!$A$1:$A$12, RANDBETWEEN(1, 12))</f>
        <v>San Carlos</v>
      </c>
      <c r="F127" s="3" t="s">
        <v>24</v>
      </c>
      <c r="G127" s="3" t="str" cm="1">
        <f t="array" aca="1" ref="G127" ca="1">INDEX(lista!$B$1:$B$6, RANDBETWEEN(1, 6))</f>
        <v>Escalera eléctrica</v>
      </c>
      <c r="H127" s="3" t="str" cm="1">
        <f t="array" aca="1" ref="H127" ca="1">INDEX(lista!$C$1:$C$4, RANDBETWEEN(1, 4))</f>
        <v>Falla mecánica</v>
      </c>
      <c r="I127" s="3" t="str">
        <f t="shared" ca="1" si="11"/>
        <v>Media</v>
      </c>
      <c r="J127" s="3" t="str">
        <f t="shared" ca="1" si="12"/>
        <v>En curso</v>
      </c>
      <c r="K127" s="4" t="str">
        <f t="shared" ca="1" si="13"/>
        <v/>
      </c>
      <c r="L127" s="1" t="str">
        <f t="shared" ca="1" si="14"/>
        <v/>
      </c>
      <c r="M127" s="3" t="str">
        <f t="shared" ca="1" si="15"/>
        <v>Mantenimiento</v>
      </c>
    </row>
    <row r="128" spans="1:13" x14ac:dyDescent="0.3">
      <c r="A128" s="3">
        <f t="shared" si="9"/>
        <v>127</v>
      </c>
      <c r="B128" s="4">
        <f t="shared" ca="1" si="1"/>
        <v>45481</v>
      </c>
      <c r="C128" s="4" t="str">
        <f t="shared" ca="1" si="10"/>
        <v>2024-07</v>
      </c>
      <c r="D128" s="5">
        <f t="shared" ca="1" si="3"/>
        <v>4.027777777777778E-2</v>
      </c>
      <c r="E128" s="3" t="str" cm="1">
        <f t="array" aca="1" ref="E128" ca="1">INDEX(lista!$A$1:$A$12, RANDBETWEEN(1, 12))</f>
        <v>Santa Rosa</v>
      </c>
      <c r="F128" s="3" t="s">
        <v>24</v>
      </c>
      <c r="G128" s="3" t="str" cm="1">
        <f t="array" aca="1" ref="G128" ca="1">INDEX(lista!$B$1:$B$6, RANDBETWEEN(1, 6))</f>
        <v>Radio</v>
      </c>
      <c r="H128" s="3" t="str" cm="1">
        <f t="array" aca="1" ref="H128" ca="1">INDEX(lista!$C$1:$C$4, RANDBETWEEN(1, 4))</f>
        <v>Mantenimiento preventivo</v>
      </c>
      <c r="I128" s="3" t="str">
        <f t="shared" ca="1" si="11"/>
        <v>Media</v>
      </c>
      <c r="J128" s="3" t="str">
        <f t="shared" ca="1" si="12"/>
        <v>Atendida</v>
      </c>
      <c r="K128" s="4">
        <f t="shared" ca="1" si="13"/>
        <v>45482</v>
      </c>
      <c r="L128" s="1">
        <f t="shared" ca="1" si="14"/>
        <v>24</v>
      </c>
      <c r="M128" s="3" t="str">
        <f t="shared" ca="1" si="15"/>
        <v>Telecomunicaciones</v>
      </c>
    </row>
    <row r="129" spans="1:13" x14ac:dyDescent="0.3">
      <c r="A129" s="3">
        <f t="shared" si="9"/>
        <v>128</v>
      </c>
      <c r="B129" s="4">
        <f t="shared" ca="1" si="1"/>
        <v>45111</v>
      </c>
      <c r="C129" s="4" t="str">
        <f t="shared" ca="1" si="10"/>
        <v>2023-07</v>
      </c>
      <c r="D129" s="5">
        <f t="shared" ca="1" si="3"/>
        <v>0.60138888888888897</v>
      </c>
      <c r="E129" s="3" t="str" cm="1">
        <f t="array" aca="1" ref="E129" ca="1">INDEX(lista!$A$1:$A$12, RANDBETWEEN(1, 12))</f>
        <v>La Cultura</v>
      </c>
      <c r="F129" s="3" t="s">
        <v>24</v>
      </c>
      <c r="G129" s="3" t="str" cm="1">
        <f t="array" aca="1" ref="G129" ca="1">INDEX(lista!$B$1:$B$6, RANDBETWEEN(1, 6))</f>
        <v>Radio</v>
      </c>
      <c r="H129" s="3" t="str" cm="1">
        <f t="array" aca="1" ref="H129" ca="1">INDEX(lista!$C$1:$C$4, RANDBETWEEN(1, 4))</f>
        <v>Mantenimiento preventivo</v>
      </c>
      <c r="I129" s="3" t="str">
        <f t="shared" ca="1" si="11"/>
        <v>Baja</v>
      </c>
      <c r="J129" s="3" t="str">
        <f t="shared" ca="1" si="12"/>
        <v>En curso</v>
      </c>
      <c r="K129" s="4" t="str">
        <f t="shared" ca="1" si="13"/>
        <v/>
      </c>
      <c r="L129" s="1" t="str">
        <f t="shared" ca="1" si="14"/>
        <v/>
      </c>
      <c r="M129" s="3" t="str">
        <f t="shared" ca="1" si="15"/>
        <v>Telecomunicaciones</v>
      </c>
    </row>
    <row r="130" spans="1:13" x14ac:dyDescent="0.3">
      <c r="A130" s="3">
        <f t="shared" si="9"/>
        <v>129</v>
      </c>
      <c r="B130" s="4">
        <f t="shared" ca="1" si="1"/>
        <v>45510</v>
      </c>
      <c r="C130" s="4" t="str">
        <f t="shared" ca="1" si="10"/>
        <v>2024-08</v>
      </c>
      <c r="D130" s="5">
        <f t="shared" ca="1" si="3"/>
        <v>0.23680555555555557</v>
      </c>
      <c r="E130" s="3" t="str" cm="1">
        <f t="array" aca="1" ref="E130" ca="1">INDEX(lista!$A$1:$A$12, RANDBETWEEN(1, 12))</f>
        <v>Atocongo</v>
      </c>
      <c r="F130" s="3" t="s">
        <v>24</v>
      </c>
      <c r="G130" s="3" t="str" cm="1">
        <f t="array" aca="1" ref="G130" ca="1">INDEX(lista!$B$1:$B$6, RANDBETWEEN(1, 6))</f>
        <v>Escalera eléctrica</v>
      </c>
      <c r="H130" s="3" t="str" cm="1">
        <f t="array" aca="1" ref="H130" ca="1">INDEX(lista!$C$1:$C$4, RANDBETWEEN(1, 4))</f>
        <v>Daño en infraestructura</v>
      </c>
      <c r="I130" s="3" t="str">
        <f t="shared" ca="1" si="11"/>
        <v>Alta</v>
      </c>
      <c r="J130" s="3" t="str">
        <f t="shared" ca="1" si="12"/>
        <v>Atendida</v>
      </c>
      <c r="K130" s="4">
        <f t="shared" ca="1" si="13"/>
        <v>45511</v>
      </c>
      <c r="L130" s="1">
        <f t="shared" ca="1" si="14"/>
        <v>16</v>
      </c>
      <c r="M130" s="3" t="str">
        <f t="shared" ca="1" si="15"/>
        <v>Mantenimiento</v>
      </c>
    </row>
    <row r="131" spans="1:13" x14ac:dyDescent="0.3">
      <c r="A131" s="3">
        <f t="shared" ref="A131:A194" si="16">ROW()-1</f>
        <v>130</v>
      </c>
      <c r="B131" s="4">
        <f t="shared" ca="1" si="1"/>
        <v>45059</v>
      </c>
      <c r="C131" s="4" t="str">
        <f t="shared" ref="C131:C194" ca="1" si="17">TEXT(B131,"yyyy-mm")</f>
        <v>2023-05</v>
      </c>
      <c r="D131" s="5">
        <f t="shared" ca="1" si="3"/>
        <v>0.53333333333333333</v>
      </c>
      <c r="E131" s="3" t="str" cm="1">
        <f t="array" aca="1" ref="E131" ca="1">INDEX(lista!$A$1:$A$12, RANDBETWEEN(1, 12))</f>
        <v>Atocongo</v>
      </c>
      <c r="F131" s="3" t="s">
        <v>24</v>
      </c>
      <c r="G131" s="3" t="str" cm="1">
        <f t="array" aca="1" ref="G131" ca="1">INDEX(lista!$B$1:$B$6, RANDBETWEEN(1, 6))</f>
        <v>Ascensor</v>
      </c>
      <c r="H131" s="3" t="str" cm="1">
        <f t="array" aca="1" ref="H131" ca="1">INDEX(lista!$C$1:$C$4, RANDBETWEEN(1, 4))</f>
        <v>Mantenimiento preventivo</v>
      </c>
      <c r="I131" s="3" t="str">
        <f t="shared" ref="I131:I194" ca="1" si="18">CHOOSE(RANDBETWEEN(1,10),"Baja","Baja","Baja","Media","Media","Media","Media","Alta","Alta","Alta")</f>
        <v>Media</v>
      </c>
      <c r="J131" s="3" t="str">
        <f t="shared" ref="J131:J194" ca="1" si="19">CHOOSE(RANDBETWEEN(1,10),"Atendida","Atendida","Atendida","En curso","En curso","Pendiente","Pendiente","Atendida","Atendida","Atendida")</f>
        <v>Pendiente</v>
      </c>
      <c r="K131" s="4" t="str">
        <f t="shared" ref="K131:K194" ca="1" si="20">IF(J131="Atendida",B131+RANDBETWEEN(0,2),"")</f>
        <v/>
      </c>
      <c r="L131" s="1" t="str">
        <f t="shared" ref="L131:L194" ca="1" si="21">IF(J131="Atendida",RANDBETWEEN(1,24),"")</f>
        <v/>
      </c>
      <c r="M131" s="3" t="str">
        <f t="shared" ref="M131:M194" ca="1" si="22">IF(OR(G131="Escalera eléctrica",G131="Ascensor",G131="Puertas de andén"),"Mantenimiento",IF(G131="Sistema eléctrico","Infraestructura","Telecomunicaciones"))</f>
        <v>Mantenimiento</v>
      </c>
    </row>
    <row r="132" spans="1:13" x14ac:dyDescent="0.3">
      <c r="A132" s="3">
        <f t="shared" si="16"/>
        <v>131</v>
      </c>
      <c r="B132" s="4">
        <f t="shared" ca="1" si="1"/>
        <v>45072</v>
      </c>
      <c r="C132" s="4" t="str">
        <f t="shared" ca="1" si="17"/>
        <v>2023-05</v>
      </c>
      <c r="D132" s="5">
        <f t="shared" ca="1" si="3"/>
        <v>0.83055555555555549</v>
      </c>
      <c r="E132" s="3" t="str" cm="1">
        <f t="array" aca="1" ref="E132" ca="1">INDEX(lista!$A$1:$A$12, RANDBETWEEN(1, 12))</f>
        <v>Cabitos</v>
      </c>
      <c r="F132" s="3" t="s">
        <v>24</v>
      </c>
      <c r="G132" s="3" t="str" cm="1">
        <f t="array" aca="1" ref="G132" ca="1">INDEX(lista!$B$1:$B$6, RANDBETWEEN(1, 6))</f>
        <v>MET</v>
      </c>
      <c r="H132" s="3" t="str" cm="1">
        <f t="array" aca="1" ref="H132" ca="1">INDEX(lista!$C$1:$C$4, RANDBETWEEN(1, 4))</f>
        <v>Mantenimiento preventivo</v>
      </c>
      <c r="I132" s="3" t="str">
        <f t="shared" ca="1" si="18"/>
        <v>Baja</v>
      </c>
      <c r="J132" s="3" t="str">
        <f t="shared" ca="1" si="19"/>
        <v>Atendida</v>
      </c>
      <c r="K132" s="4">
        <f t="shared" ca="1" si="20"/>
        <v>45073</v>
      </c>
      <c r="L132" s="1">
        <f t="shared" ca="1" si="21"/>
        <v>12</v>
      </c>
      <c r="M132" s="3" t="str">
        <f t="shared" ca="1" si="22"/>
        <v>Telecomunicaciones</v>
      </c>
    </row>
    <row r="133" spans="1:13" x14ac:dyDescent="0.3">
      <c r="A133" s="3">
        <f t="shared" si="16"/>
        <v>132</v>
      </c>
      <c r="B133" s="4">
        <f t="shared" ca="1" si="1"/>
        <v>45414</v>
      </c>
      <c r="C133" s="4" t="str">
        <f t="shared" ca="1" si="17"/>
        <v>2024-05</v>
      </c>
      <c r="D133" s="5">
        <f t="shared" ca="1" si="3"/>
        <v>1.6666666666666666E-2</v>
      </c>
      <c r="E133" s="3" t="str" cm="1">
        <f t="array" aca="1" ref="E133" ca="1">INDEX(lista!$A$1:$A$12, RANDBETWEEN(1, 12))</f>
        <v>La Cultura</v>
      </c>
      <c r="F133" s="3" t="s">
        <v>24</v>
      </c>
      <c r="G133" s="3" t="str" cm="1">
        <f t="array" aca="1" ref="G133" ca="1">INDEX(lista!$B$1:$B$6, RANDBETWEEN(1, 6))</f>
        <v>Torniquete</v>
      </c>
      <c r="H133" s="3" t="str" cm="1">
        <f t="array" aca="1" ref="H133" ca="1">INDEX(lista!$C$1:$C$4, RANDBETWEEN(1, 4))</f>
        <v>Mantenimiento preventivo</v>
      </c>
      <c r="I133" s="3" t="str">
        <f t="shared" ca="1" si="18"/>
        <v>Media</v>
      </c>
      <c r="J133" s="3" t="str">
        <f t="shared" ca="1" si="19"/>
        <v>Atendida</v>
      </c>
      <c r="K133" s="4">
        <f t="shared" ca="1" si="20"/>
        <v>45415</v>
      </c>
      <c r="L133" s="1">
        <f t="shared" ca="1" si="21"/>
        <v>22</v>
      </c>
      <c r="M133" s="3" t="str">
        <f t="shared" ca="1" si="22"/>
        <v>Telecomunicaciones</v>
      </c>
    </row>
    <row r="134" spans="1:13" x14ac:dyDescent="0.3">
      <c r="A134" s="3">
        <f t="shared" si="16"/>
        <v>133</v>
      </c>
      <c r="B134" s="4">
        <f t="shared" ca="1" si="1"/>
        <v>45245</v>
      </c>
      <c r="C134" s="4" t="str">
        <f t="shared" ca="1" si="17"/>
        <v>2023-11</v>
      </c>
      <c r="D134" s="5">
        <f t="shared" ca="1" si="3"/>
        <v>0.39444444444444443</v>
      </c>
      <c r="E134" s="3" t="str" cm="1">
        <f t="array" aca="1" ref="E134" ca="1">INDEX(lista!$A$1:$A$12, RANDBETWEEN(1, 12))</f>
        <v>Pumacahua</v>
      </c>
      <c r="F134" s="3" t="s">
        <v>24</v>
      </c>
      <c r="G134" s="3" t="str" cm="1">
        <f t="array" aca="1" ref="G134" ca="1">INDEX(lista!$B$1:$B$6, RANDBETWEEN(1, 6))</f>
        <v>Escalera eléctrica</v>
      </c>
      <c r="H134" s="3" t="str" cm="1">
        <f t="array" aca="1" ref="H134" ca="1">INDEX(lista!$C$1:$C$4, RANDBETWEEN(1, 4))</f>
        <v>Mantenimiento preventivo</v>
      </c>
      <c r="I134" s="3" t="str">
        <f t="shared" ca="1" si="18"/>
        <v>Baja</v>
      </c>
      <c r="J134" s="3" t="str">
        <f t="shared" ca="1" si="19"/>
        <v>Pendiente</v>
      </c>
      <c r="K134" s="4" t="str">
        <f t="shared" ca="1" si="20"/>
        <v/>
      </c>
      <c r="L134" s="1" t="str">
        <f t="shared" ca="1" si="21"/>
        <v/>
      </c>
      <c r="M134" s="3" t="str">
        <f t="shared" ca="1" si="22"/>
        <v>Mantenimiento</v>
      </c>
    </row>
    <row r="135" spans="1:13" x14ac:dyDescent="0.3">
      <c r="A135" s="3">
        <f t="shared" si="16"/>
        <v>134</v>
      </c>
      <c r="B135" s="4">
        <f t="shared" ca="1" si="1"/>
        <v>45107</v>
      </c>
      <c r="C135" s="4" t="str">
        <f t="shared" ca="1" si="17"/>
        <v>2023-06</v>
      </c>
      <c r="D135" s="5">
        <f t="shared" ca="1" si="3"/>
        <v>0.1875</v>
      </c>
      <c r="E135" s="3" t="str" cm="1">
        <f t="array" aca="1" ref="E135" ca="1">INDEX(lista!$A$1:$A$12, RANDBETWEEN(1, 12))</f>
        <v>Villa El Salvador</v>
      </c>
      <c r="F135" s="3" t="s">
        <v>24</v>
      </c>
      <c r="G135" s="3" t="str" cm="1">
        <f t="array" aca="1" ref="G135" ca="1">INDEX(lista!$B$1:$B$6, RANDBETWEEN(1, 6))</f>
        <v>Radio</v>
      </c>
      <c r="H135" s="3" t="str" cm="1">
        <f t="array" aca="1" ref="H135" ca="1">INDEX(lista!$C$1:$C$4, RANDBETWEEN(1, 4))</f>
        <v>Daño en infraestructura</v>
      </c>
      <c r="I135" s="3" t="str">
        <f t="shared" ca="1" si="18"/>
        <v>Baja</v>
      </c>
      <c r="J135" s="3" t="str">
        <f t="shared" ca="1" si="19"/>
        <v>En curso</v>
      </c>
      <c r="K135" s="4" t="str">
        <f t="shared" ca="1" si="20"/>
        <v/>
      </c>
      <c r="L135" s="1" t="str">
        <f t="shared" ca="1" si="21"/>
        <v/>
      </c>
      <c r="M135" s="3" t="str">
        <f t="shared" ca="1" si="22"/>
        <v>Telecomunicaciones</v>
      </c>
    </row>
    <row r="136" spans="1:13" x14ac:dyDescent="0.3">
      <c r="A136" s="3">
        <f t="shared" si="16"/>
        <v>135</v>
      </c>
      <c r="B136" s="4">
        <f t="shared" ca="1" si="1"/>
        <v>45444</v>
      </c>
      <c r="C136" s="4" t="str">
        <f t="shared" ca="1" si="17"/>
        <v>2024-06</v>
      </c>
      <c r="D136" s="5">
        <f t="shared" ca="1" si="3"/>
        <v>0.88611111111111107</v>
      </c>
      <c r="E136" s="3" t="str" cm="1">
        <f t="array" aca="1" ref="E136" ca="1">INDEX(lista!$A$1:$A$12, RANDBETWEEN(1, 12))</f>
        <v>Bayóvar</v>
      </c>
      <c r="F136" s="3" t="s">
        <v>24</v>
      </c>
      <c r="G136" s="3" t="str" cm="1">
        <f t="array" aca="1" ref="G136" ca="1">INDEX(lista!$B$1:$B$6, RANDBETWEEN(1, 6))</f>
        <v>Escalera eléctrica</v>
      </c>
      <c r="H136" s="3" t="str" cm="1">
        <f t="array" aca="1" ref="H136" ca="1">INDEX(lista!$C$1:$C$4, RANDBETWEEN(1, 4))</f>
        <v>Falla eléctrica</v>
      </c>
      <c r="I136" s="3" t="str">
        <f t="shared" ca="1" si="18"/>
        <v>Baja</v>
      </c>
      <c r="J136" s="3" t="str">
        <f t="shared" ca="1" si="19"/>
        <v>Pendiente</v>
      </c>
      <c r="K136" s="4" t="str">
        <f t="shared" ca="1" si="20"/>
        <v/>
      </c>
      <c r="L136" s="1" t="str">
        <f t="shared" ca="1" si="21"/>
        <v/>
      </c>
      <c r="M136" s="3" t="str">
        <f t="shared" ca="1" si="22"/>
        <v>Mantenimiento</v>
      </c>
    </row>
    <row r="137" spans="1:13" x14ac:dyDescent="0.3">
      <c r="A137" s="3">
        <f t="shared" si="16"/>
        <v>136</v>
      </c>
      <c r="B137" s="4">
        <f t="shared" ca="1" si="1"/>
        <v>45257</v>
      </c>
      <c r="C137" s="4" t="str">
        <f t="shared" ca="1" si="17"/>
        <v>2023-11</v>
      </c>
      <c r="D137" s="5">
        <f t="shared" ca="1" si="3"/>
        <v>0.64097222222222228</v>
      </c>
      <c r="E137" s="3" t="str" cm="1">
        <f t="array" aca="1" ref="E137" ca="1">INDEX(lista!$A$1:$A$12, RANDBETWEEN(1, 12))</f>
        <v>Gamarra</v>
      </c>
      <c r="F137" s="3" t="s">
        <v>24</v>
      </c>
      <c r="G137" s="3" t="str" cm="1">
        <f t="array" aca="1" ref="G137" ca="1">INDEX(lista!$B$1:$B$6, RANDBETWEEN(1, 6))</f>
        <v>MET</v>
      </c>
      <c r="H137" s="3" t="str" cm="1">
        <f t="array" aca="1" ref="H137" ca="1">INDEX(lista!$C$1:$C$4, RANDBETWEEN(1, 4))</f>
        <v>Daño en infraestructura</v>
      </c>
      <c r="I137" s="3" t="str">
        <f t="shared" ca="1" si="18"/>
        <v>Alta</v>
      </c>
      <c r="J137" s="3" t="str">
        <f t="shared" ca="1" si="19"/>
        <v>Atendida</v>
      </c>
      <c r="K137" s="4">
        <f t="shared" ca="1" si="20"/>
        <v>45258</v>
      </c>
      <c r="L137" s="1">
        <f t="shared" ca="1" si="21"/>
        <v>24</v>
      </c>
      <c r="M137" s="3" t="str">
        <f t="shared" ca="1" si="22"/>
        <v>Telecomunicaciones</v>
      </c>
    </row>
    <row r="138" spans="1:13" x14ac:dyDescent="0.3">
      <c r="A138" s="3">
        <f t="shared" si="16"/>
        <v>137</v>
      </c>
      <c r="B138" s="4">
        <f t="shared" ca="1" si="1"/>
        <v>45564</v>
      </c>
      <c r="C138" s="4" t="str">
        <f t="shared" ca="1" si="17"/>
        <v>2024-09</v>
      </c>
      <c r="D138" s="5">
        <f t="shared" ca="1" si="3"/>
        <v>0.50624999999999998</v>
      </c>
      <c r="E138" s="3" t="str" cm="1">
        <f t="array" aca="1" ref="E138" ca="1">INDEX(lista!$A$1:$A$12, RANDBETWEEN(1, 12))</f>
        <v>Villa El Salvador</v>
      </c>
      <c r="F138" s="3" t="s">
        <v>24</v>
      </c>
      <c r="G138" s="3" t="str" cm="1">
        <f t="array" aca="1" ref="G138" ca="1">INDEX(lista!$B$1:$B$6, RANDBETWEEN(1, 6))</f>
        <v>Torniquete</v>
      </c>
      <c r="H138" s="3" t="str" cm="1">
        <f t="array" aca="1" ref="H138" ca="1">INDEX(lista!$C$1:$C$4, RANDBETWEEN(1, 4))</f>
        <v>Falla eléctrica</v>
      </c>
      <c r="I138" s="3" t="str">
        <f t="shared" ca="1" si="18"/>
        <v>Media</v>
      </c>
      <c r="J138" s="3" t="str">
        <f t="shared" ca="1" si="19"/>
        <v>Atendida</v>
      </c>
      <c r="K138" s="4">
        <f t="shared" ca="1" si="20"/>
        <v>45564</v>
      </c>
      <c r="L138" s="1">
        <f t="shared" ca="1" si="21"/>
        <v>15</v>
      </c>
      <c r="M138" s="3" t="str">
        <f t="shared" ca="1" si="22"/>
        <v>Telecomunicaciones</v>
      </c>
    </row>
    <row r="139" spans="1:13" x14ac:dyDescent="0.3">
      <c r="A139" s="3">
        <f t="shared" si="16"/>
        <v>138</v>
      </c>
      <c r="B139" s="4">
        <f t="shared" ca="1" si="1"/>
        <v>45632</v>
      </c>
      <c r="C139" s="4" t="str">
        <f t="shared" ca="1" si="17"/>
        <v>2024-12</v>
      </c>
      <c r="D139" s="5">
        <f t="shared" ca="1" si="3"/>
        <v>0.72986111111111118</v>
      </c>
      <c r="E139" s="3" t="str" cm="1">
        <f t="array" aca="1" ref="E139" ca="1">INDEX(lista!$A$1:$A$12, RANDBETWEEN(1, 12))</f>
        <v>Villa El Salvador</v>
      </c>
      <c r="F139" s="3" t="s">
        <v>24</v>
      </c>
      <c r="G139" s="3" t="str" cm="1">
        <f t="array" aca="1" ref="G139" ca="1">INDEX(lista!$B$1:$B$6, RANDBETWEEN(1, 6))</f>
        <v>Torniquete</v>
      </c>
      <c r="H139" s="3" t="str" cm="1">
        <f t="array" aca="1" ref="H139" ca="1">INDEX(lista!$C$1:$C$4, RANDBETWEEN(1, 4))</f>
        <v>Mantenimiento preventivo</v>
      </c>
      <c r="I139" s="3" t="str">
        <f t="shared" ca="1" si="18"/>
        <v>Baja</v>
      </c>
      <c r="J139" s="3" t="str">
        <f t="shared" ca="1" si="19"/>
        <v>Atendida</v>
      </c>
      <c r="K139" s="4">
        <f t="shared" ca="1" si="20"/>
        <v>45634</v>
      </c>
      <c r="L139" s="1">
        <f t="shared" ca="1" si="21"/>
        <v>12</v>
      </c>
      <c r="M139" s="3" t="str">
        <f t="shared" ca="1" si="22"/>
        <v>Telecomunicaciones</v>
      </c>
    </row>
    <row r="140" spans="1:13" x14ac:dyDescent="0.3">
      <c r="A140" s="3">
        <f t="shared" si="16"/>
        <v>139</v>
      </c>
      <c r="B140" s="4">
        <f t="shared" ca="1" si="1"/>
        <v>45171</v>
      </c>
      <c r="C140" s="4" t="str">
        <f t="shared" ca="1" si="17"/>
        <v>2023-09</v>
      </c>
      <c r="D140" s="5">
        <f t="shared" ca="1" si="3"/>
        <v>0.28680555555555554</v>
      </c>
      <c r="E140" s="3" t="str" cm="1">
        <f t="array" aca="1" ref="E140" ca="1">INDEX(lista!$A$1:$A$12, RANDBETWEEN(1, 12))</f>
        <v>La Cultura</v>
      </c>
      <c r="F140" s="3" t="s">
        <v>24</v>
      </c>
      <c r="G140" s="3" t="str" cm="1">
        <f t="array" aca="1" ref="G140" ca="1">INDEX(lista!$B$1:$B$6, RANDBETWEEN(1, 6))</f>
        <v>MET</v>
      </c>
      <c r="H140" s="3" t="str" cm="1">
        <f t="array" aca="1" ref="H140" ca="1">INDEX(lista!$C$1:$C$4, RANDBETWEEN(1, 4))</f>
        <v>Falla mecánica</v>
      </c>
      <c r="I140" s="3" t="str">
        <f t="shared" ca="1" si="18"/>
        <v>Alta</v>
      </c>
      <c r="J140" s="3" t="str">
        <f t="shared" ca="1" si="19"/>
        <v>Atendida</v>
      </c>
      <c r="K140" s="4">
        <f t="shared" ca="1" si="20"/>
        <v>45172</v>
      </c>
      <c r="L140" s="1">
        <f t="shared" ca="1" si="21"/>
        <v>7</v>
      </c>
      <c r="M140" s="3" t="str">
        <f t="shared" ca="1" si="22"/>
        <v>Telecomunicaciones</v>
      </c>
    </row>
    <row r="141" spans="1:13" x14ac:dyDescent="0.3">
      <c r="A141" s="3">
        <f t="shared" si="16"/>
        <v>140</v>
      </c>
      <c r="B141" s="4">
        <f t="shared" ca="1" si="1"/>
        <v>45322</v>
      </c>
      <c r="C141" s="4" t="str">
        <f t="shared" ca="1" si="17"/>
        <v>2024-01</v>
      </c>
      <c r="D141" s="5">
        <f t="shared" ca="1" si="3"/>
        <v>0.35138888888888886</v>
      </c>
      <c r="E141" s="3" t="str" cm="1">
        <f t="array" aca="1" ref="E141" ca="1">INDEX(lista!$A$1:$A$12, RANDBETWEEN(1, 12))</f>
        <v>Bayóvar</v>
      </c>
      <c r="F141" s="3" t="s">
        <v>24</v>
      </c>
      <c r="G141" s="3" t="str" cm="1">
        <f t="array" aca="1" ref="G141" ca="1">INDEX(lista!$B$1:$B$6, RANDBETWEEN(1, 6))</f>
        <v>MET</v>
      </c>
      <c r="H141" s="3" t="str" cm="1">
        <f t="array" aca="1" ref="H141" ca="1">INDEX(lista!$C$1:$C$4, RANDBETWEEN(1, 4))</f>
        <v>Daño en infraestructura</v>
      </c>
      <c r="I141" s="3" t="str">
        <f t="shared" ca="1" si="18"/>
        <v>Alta</v>
      </c>
      <c r="J141" s="3" t="str">
        <f t="shared" ca="1" si="19"/>
        <v>Atendida</v>
      </c>
      <c r="K141" s="4">
        <f t="shared" ca="1" si="20"/>
        <v>45322</v>
      </c>
      <c r="L141" s="1">
        <f t="shared" ca="1" si="21"/>
        <v>13</v>
      </c>
      <c r="M141" s="3" t="str">
        <f t="shared" ca="1" si="22"/>
        <v>Telecomunicaciones</v>
      </c>
    </row>
    <row r="142" spans="1:13" x14ac:dyDescent="0.3">
      <c r="A142" s="3">
        <f t="shared" si="16"/>
        <v>141</v>
      </c>
      <c r="B142" s="4">
        <f t="shared" ca="1" si="1"/>
        <v>45150</v>
      </c>
      <c r="C142" s="4" t="str">
        <f t="shared" ca="1" si="17"/>
        <v>2023-08</v>
      </c>
      <c r="D142" s="5">
        <f t="shared" ca="1" si="3"/>
        <v>0.3041666666666667</v>
      </c>
      <c r="E142" s="3" t="str" cm="1">
        <f t="array" aca="1" ref="E142" ca="1">INDEX(lista!$A$1:$A$12, RANDBETWEEN(1, 12))</f>
        <v>Angamos</v>
      </c>
      <c r="F142" s="3" t="s">
        <v>24</v>
      </c>
      <c r="G142" s="3" t="str" cm="1">
        <f t="array" aca="1" ref="G142" ca="1">INDEX(lista!$B$1:$B$6, RANDBETWEEN(1, 6))</f>
        <v>TVM</v>
      </c>
      <c r="H142" s="3" t="str" cm="1">
        <f t="array" aca="1" ref="H142" ca="1">INDEX(lista!$C$1:$C$4, RANDBETWEEN(1, 4))</f>
        <v>Daño en infraestructura</v>
      </c>
      <c r="I142" s="3" t="str">
        <f t="shared" ca="1" si="18"/>
        <v>Baja</v>
      </c>
      <c r="J142" s="3" t="str">
        <f t="shared" ca="1" si="19"/>
        <v>Pendiente</v>
      </c>
      <c r="K142" s="4" t="str">
        <f t="shared" ca="1" si="20"/>
        <v/>
      </c>
      <c r="L142" s="1" t="str">
        <f t="shared" ca="1" si="21"/>
        <v/>
      </c>
      <c r="M142" s="3" t="str">
        <f t="shared" ca="1" si="22"/>
        <v>Telecomunicaciones</v>
      </c>
    </row>
    <row r="143" spans="1:13" x14ac:dyDescent="0.3">
      <c r="A143" s="3">
        <f t="shared" si="16"/>
        <v>142</v>
      </c>
      <c r="B143" s="4">
        <f t="shared" ca="1" si="1"/>
        <v>45116</v>
      </c>
      <c r="C143" s="4" t="str">
        <f t="shared" ca="1" si="17"/>
        <v>2023-07</v>
      </c>
      <c r="D143" s="5">
        <f t="shared" ca="1" si="3"/>
        <v>0.87569444444444444</v>
      </c>
      <c r="E143" s="3" t="str" cm="1">
        <f t="array" aca="1" ref="E143" ca="1">INDEX(lista!$A$1:$A$12, RANDBETWEEN(1, 12))</f>
        <v>Cabitos</v>
      </c>
      <c r="F143" s="3" t="s">
        <v>24</v>
      </c>
      <c r="G143" s="3" t="str" cm="1">
        <f t="array" aca="1" ref="G143" ca="1">INDEX(lista!$B$1:$B$6, RANDBETWEEN(1, 6))</f>
        <v>TVM</v>
      </c>
      <c r="H143" s="3" t="str" cm="1">
        <f t="array" aca="1" ref="H143" ca="1">INDEX(lista!$C$1:$C$4, RANDBETWEEN(1, 4))</f>
        <v>Daño en infraestructura</v>
      </c>
      <c r="I143" s="3" t="str">
        <f t="shared" ca="1" si="18"/>
        <v>Alta</v>
      </c>
      <c r="J143" s="3" t="str">
        <f t="shared" ca="1" si="19"/>
        <v>Pendiente</v>
      </c>
      <c r="K143" s="4" t="str">
        <f t="shared" ca="1" si="20"/>
        <v/>
      </c>
      <c r="L143" s="1" t="str">
        <f t="shared" ca="1" si="21"/>
        <v/>
      </c>
      <c r="M143" s="3" t="str">
        <f t="shared" ca="1" si="22"/>
        <v>Telecomunicaciones</v>
      </c>
    </row>
    <row r="144" spans="1:13" x14ac:dyDescent="0.3">
      <c r="A144" s="3">
        <f t="shared" si="16"/>
        <v>143</v>
      </c>
      <c r="B144" s="4">
        <f t="shared" ca="1" si="1"/>
        <v>44927</v>
      </c>
      <c r="C144" s="4" t="str">
        <f t="shared" ca="1" si="17"/>
        <v>2023-01</v>
      </c>
      <c r="D144" s="5">
        <f t="shared" ca="1" si="3"/>
        <v>0.73888888888888893</v>
      </c>
      <c r="E144" s="3" t="str" cm="1">
        <f t="array" aca="1" ref="E144" ca="1">INDEX(lista!$A$1:$A$12, RANDBETWEEN(1, 12))</f>
        <v>San Carlos</v>
      </c>
      <c r="F144" s="3" t="s">
        <v>24</v>
      </c>
      <c r="G144" s="3" t="str" cm="1">
        <f t="array" aca="1" ref="G144" ca="1">INDEX(lista!$B$1:$B$6, RANDBETWEEN(1, 6))</f>
        <v>MET</v>
      </c>
      <c r="H144" s="3" t="str" cm="1">
        <f t="array" aca="1" ref="H144" ca="1">INDEX(lista!$C$1:$C$4, RANDBETWEEN(1, 4))</f>
        <v>Falla mecánica</v>
      </c>
      <c r="I144" s="3" t="str">
        <f t="shared" ca="1" si="18"/>
        <v>Media</v>
      </c>
      <c r="J144" s="3" t="str">
        <f t="shared" ca="1" si="19"/>
        <v>Pendiente</v>
      </c>
      <c r="K144" s="4" t="str">
        <f t="shared" ca="1" si="20"/>
        <v/>
      </c>
      <c r="L144" s="1" t="str">
        <f t="shared" ca="1" si="21"/>
        <v/>
      </c>
      <c r="M144" s="3" t="str">
        <f t="shared" ca="1" si="22"/>
        <v>Telecomunicaciones</v>
      </c>
    </row>
    <row r="145" spans="1:13" x14ac:dyDescent="0.3">
      <c r="A145" s="3">
        <f t="shared" si="16"/>
        <v>144</v>
      </c>
      <c r="B145" s="4">
        <f t="shared" ca="1" si="1"/>
        <v>45248</v>
      </c>
      <c r="C145" s="4" t="str">
        <f t="shared" ca="1" si="17"/>
        <v>2023-11</v>
      </c>
      <c r="D145" s="5">
        <f t="shared" ca="1" si="3"/>
        <v>0.89513888888888893</v>
      </c>
      <c r="E145" s="3" t="str" cm="1">
        <f t="array" aca="1" ref="E145" ca="1">INDEX(lista!$A$1:$A$12, RANDBETWEEN(1, 12))</f>
        <v>Cabitos</v>
      </c>
      <c r="F145" s="3" t="s">
        <v>24</v>
      </c>
      <c r="G145" s="3" t="str" cm="1">
        <f t="array" aca="1" ref="G145" ca="1">INDEX(lista!$B$1:$B$6, RANDBETWEEN(1, 6))</f>
        <v>Escalera eléctrica</v>
      </c>
      <c r="H145" s="3" t="str" cm="1">
        <f t="array" aca="1" ref="H145" ca="1">INDEX(lista!$C$1:$C$4, RANDBETWEEN(1, 4))</f>
        <v>Daño en infraestructura</v>
      </c>
      <c r="I145" s="3" t="str">
        <f t="shared" ca="1" si="18"/>
        <v>Media</v>
      </c>
      <c r="J145" s="3" t="str">
        <f t="shared" ca="1" si="19"/>
        <v>En curso</v>
      </c>
      <c r="K145" s="4" t="str">
        <f t="shared" ca="1" si="20"/>
        <v/>
      </c>
      <c r="L145" s="1" t="str">
        <f t="shared" ca="1" si="21"/>
        <v/>
      </c>
      <c r="M145" s="3" t="str">
        <f t="shared" ca="1" si="22"/>
        <v>Mantenimiento</v>
      </c>
    </row>
    <row r="146" spans="1:13" x14ac:dyDescent="0.3">
      <c r="A146" s="3">
        <f t="shared" si="16"/>
        <v>145</v>
      </c>
      <c r="B146" s="4">
        <f t="shared" ca="1" si="1"/>
        <v>45333</v>
      </c>
      <c r="C146" s="4" t="str">
        <f t="shared" ca="1" si="17"/>
        <v>2024-02</v>
      </c>
      <c r="D146" s="5">
        <f t="shared" ca="1" si="3"/>
        <v>0.68402777777777779</v>
      </c>
      <c r="E146" s="3" t="str" cm="1">
        <f t="array" aca="1" ref="E146" ca="1">INDEX(lista!$A$1:$A$12, RANDBETWEEN(1, 12))</f>
        <v>La Cultura</v>
      </c>
      <c r="F146" s="3" t="s">
        <v>24</v>
      </c>
      <c r="G146" s="3" t="str" cm="1">
        <f t="array" aca="1" ref="G146" ca="1">INDEX(lista!$B$1:$B$6, RANDBETWEEN(1, 6))</f>
        <v>MET</v>
      </c>
      <c r="H146" s="3" t="str" cm="1">
        <f t="array" aca="1" ref="H146" ca="1">INDEX(lista!$C$1:$C$4, RANDBETWEEN(1, 4))</f>
        <v>Falla eléctrica</v>
      </c>
      <c r="I146" s="3" t="str">
        <f t="shared" ca="1" si="18"/>
        <v>Baja</v>
      </c>
      <c r="J146" s="3" t="str">
        <f t="shared" ca="1" si="19"/>
        <v>Atendida</v>
      </c>
      <c r="K146" s="4">
        <f t="shared" ca="1" si="20"/>
        <v>45335</v>
      </c>
      <c r="L146" s="1">
        <f t="shared" ca="1" si="21"/>
        <v>6</v>
      </c>
      <c r="M146" s="3" t="str">
        <f t="shared" ca="1" si="22"/>
        <v>Telecomunicaciones</v>
      </c>
    </row>
    <row r="147" spans="1:13" x14ac:dyDescent="0.3">
      <c r="A147" s="3">
        <f t="shared" si="16"/>
        <v>146</v>
      </c>
      <c r="B147" s="4">
        <f t="shared" ca="1" si="1"/>
        <v>45288</v>
      </c>
      <c r="C147" s="4" t="str">
        <f t="shared" ca="1" si="17"/>
        <v>2023-12</v>
      </c>
      <c r="D147" s="5">
        <f t="shared" ca="1" si="3"/>
        <v>6.9444444444444447E-4</v>
      </c>
      <c r="E147" s="3" t="str" cm="1">
        <f t="array" aca="1" ref="E147" ca="1">INDEX(lista!$A$1:$A$12, RANDBETWEEN(1, 12))</f>
        <v>Pumacahua</v>
      </c>
      <c r="F147" s="3" t="s">
        <v>24</v>
      </c>
      <c r="G147" s="3" t="str" cm="1">
        <f t="array" aca="1" ref="G147" ca="1">INDEX(lista!$B$1:$B$6, RANDBETWEEN(1, 6))</f>
        <v>Ascensor</v>
      </c>
      <c r="H147" s="3" t="str" cm="1">
        <f t="array" aca="1" ref="H147" ca="1">INDEX(lista!$C$1:$C$4, RANDBETWEEN(1, 4))</f>
        <v>Falla eléctrica</v>
      </c>
      <c r="I147" s="3" t="str">
        <f t="shared" ca="1" si="18"/>
        <v>Media</v>
      </c>
      <c r="J147" s="3" t="str">
        <f t="shared" ca="1" si="19"/>
        <v>En curso</v>
      </c>
      <c r="K147" s="4" t="str">
        <f t="shared" ca="1" si="20"/>
        <v/>
      </c>
      <c r="L147" s="1" t="str">
        <f t="shared" ca="1" si="21"/>
        <v/>
      </c>
      <c r="M147" s="3" t="str">
        <f t="shared" ca="1" si="22"/>
        <v>Mantenimiento</v>
      </c>
    </row>
    <row r="148" spans="1:13" x14ac:dyDescent="0.3">
      <c r="A148" s="3">
        <f t="shared" si="16"/>
        <v>147</v>
      </c>
      <c r="B148" s="4">
        <f t="shared" ca="1" si="1"/>
        <v>45066</v>
      </c>
      <c r="C148" s="4" t="str">
        <f t="shared" ca="1" si="17"/>
        <v>2023-05</v>
      </c>
      <c r="D148" s="5">
        <f t="shared" ca="1" si="3"/>
        <v>0.72222222222222221</v>
      </c>
      <c r="E148" s="3" t="str" cm="1">
        <f t="array" aca="1" ref="E148" ca="1">INDEX(lista!$A$1:$A$12, RANDBETWEEN(1, 12))</f>
        <v>Atocongo</v>
      </c>
      <c r="F148" s="3" t="s">
        <v>24</v>
      </c>
      <c r="G148" s="3" t="str" cm="1">
        <f t="array" aca="1" ref="G148" ca="1">INDEX(lista!$B$1:$B$6, RANDBETWEEN(1, 6))</f>
        <v>TVM</v>
      </c>
      <c r="H148" s="3" t="str" cm="1">
        <f t="array" aca="1" ref="H148" ca="1">INDEX(lista!$C$1:$C$4, RANDBETWEEN(1, 4))</f>
        <v>Daño en infraestructura</v>
      </c>
      <c r="I148" s="3" t="str">
        <f t="shared" ca="1" si="18"/>
        <v>Media</v>
      </c>
      <c r="J148" s="3" t="str">
        <f t="shared" ca="1" si="19"/>
        <v>En curso</v>
      </c>
      <c r="K148" s="4" t="str">
        <f t="shared" ca="1" si="20"/>
        <v/>
      </c>
      <c r="L148" s="1" t="str">
        <f t="shared" ca="1" si="21"/>
        <v/>
      </c>
      <c r="M148" s="3" t="str">
        <f t="shared" ca="1" si="22"/>
        <v>Telecomunicaciones</v>
      </c>
    </row>
    <row r="149" spans="1:13" x14ac:dyDescent="0.3">
      <c r="A149" s="3">
        <f t="shared" si="16"/>
        <v>148</v>
      </c>
      <c r="B149" s="4">
        <f t="shared" ca="1" si="1"/>
        <v>45447</v>
      </c>
      <c r="C149" s="4" t="str">
        <f t="shared" ca="1" si="17"/>
        <v>2024-06</v>
      </c>
      <c r="D149" s="5">
        <f t="shared" ca="1" si="3"/>
        <v>0.2895833333333333</v>
      </c>
      <c r="E149" s="3" t="str" cm="1">
        <f t="array" aca="1" ref="E149" ca="1">INDEX(lista!$A$1:$A$12, RANDBETWEEN(1, 12))</f>
        <v>Atocongo</v>
      </c>
      <c r="F149" s="3" t="s">
        <v>24</v>
      </c>
      <c r="G149" s="3" t="str" cm="1">
        <f t="array" aca="1" ref="G149" ca="1">INDEX(lista!$B$1:$B$6, RANDBETWEEN(1, 6))</f>
        <v>MET</v>
      </c>
      <c r="H149" s="3" t="str" cm="1">
        <f t="array" aca="1" ref="H149" ca="1">INDEX(lista!$C$1:$C$4, RANDBETWEEN(1, 4))</f>
        <v>Mantenimiento preventivo</v>
      </c>
      <c r="I149" s="3" t="str">
        <f t="shared" ca="1" si="18"/>
        <v>Media</v>
      </c>
      <c r="J149" s="3" t="str">
        <f t="shared" ca="1" si="19"/>
        <v>Atendida</v>
      </c>
      <c r="K149" s="4">
        <f t="shared" ca="1" si="20"/>
        <v>45447</v>
      </c>
      <c r="L149" s="1">
        <f t="shared" ca="1" si="21"/>
        <v>5</v>
      </c>
      <c r="M149" s="3" t="str">
        <f t="shared" ca="1" si="22"/>
        <v>Telecomunicaciones</v>
      </c>
    </row>
    <row r="150" spans="1:13" x14ac:dyDescent="0.3">
      <c r="A150" s="3">
        <f t="shared" si="16"/>
        <v>149</v>
      </c>
      <c r="B150" s="4">
        <f t="shared" ca="1" si="1"/>
        <v>45180</v>
      </c>
      <c r="C150" s="4" t="str">
        <f t="shared" ca="1" si="17"/>
        <v>2023-09</v>
      </c>
      <c r="D150" s="5">
        <f t="shared" ca="1" si="3"/>
        <v>0.28749999999999998</v>
      </c>
      <c r="E150" s="3" t="str" cm="1">
        <f t="array" aca="1" ref="E150" ca="1">INDEX(lista!$A$1:$A$12, RANDBETWEEN(1, 12))</f>
        <v>Angamos</v>
      </c>
      <c r="F150" s="3" t="s">
        <v>24</v>
      </c>
      <c r="G150" s="3" t="str" cm="1">
        <f t="array" aca="1" ref="G150" ca="1">INDEX(lista!$B$1:$B$6, RANDBETWEEN(1, 6))</f>
        <v>TVM</v>
      </c>
      <c r="H150" s="3" t="str" cm="1">
        <f t="array" aca="1" ref="H150" ca="1">INDEX(lista!$C$1:$C$4, RANDBETWEEN(1, 4))</f>
        <v>Daño en infraestructura</v>
      </c>
      <c r="I150" s="3" t="str">
        <f t="shared" ca="1" si="18"/>
        <v>Media</v>
      </c>
      <c r="J150" s="3" t="str">
        <f t="shared" ca="1" si="19"/>
        <v>Atendida</v>
      </c>
      <c r="K150" s="4">
        <f t="shared" ca="1" si="20"/>
        <v>45182</v>
      </c>
      <c r="L150" s="1">
        <f t="shared" ca="1" si="21"/>
        <v>24</v>
      </c>
      <c r="M150" s="3" t="str">
        <f t="shared" ca="1" si="22"/>
        <v>Telecomunicaciones</v>
      </c>
    </row>
    <row r="151" spans="1:13" x14ac:dyDescent="0.3">
      <c r="A151" s="3">
        <f t="shared" si="16"/>
        <v>150</v>
      </c>
      <c r="B151" s="4">
        <f t="shared" ca="1" si="1"/>
        <v>45240</v>
      </c>
      <c r="C151" s="4" t="str">
        <f t="shared" ca="1" si="17"/>
        <v>2023-11</v>
      </c>
      <c r="D151" s="5">
        <f t="shared" ca="1" si="3"/>
        <v>0.97708333333333341</v>
      </c>
      <c r="E151" s="3" t="str" cm="1">
        <f t="array" aca="1" ref="E151" ca="1">INDEX(lista!$A$1:$A$12, RANDBETWEEN(1, 12))</f>
        <v>Angamos</v>
      </c>
      <c r="F151" s="3" t="s">
        <v>24</v>
      </c>
      <c r="G151" s="3" t="str" cm="1">
        <f t="array" aca="1" ref="G151" ca="1">INDEX(lista!$B$1:$B$6, RANDBETWEEN(1, 6))</f>
        <v>MET</v>
      </c>
      <c r="H151" s="3" t="str" cm="1">
        <f t="array" aca="1" ref="H151" ca="1">INDEX(lista!$C$1:$C$4, RANDBETWEEN(1, 4))</f>
        <v>Mantenimiento preventivo</v>
      </c>
      <c r="I151" s="3" t="str">
        <f t="shared" ca="1" si="18"/>
        <v>Alta</v>
      </c>
      <c r="J151" s="3" t="str">
        <f t="shared" ca="1" si="19"/>
        <v>Atendida</v>
      </c>
      <c r="K151" s="4">
        <f t="shared" ca="1" si="20"/>
        <v>45242</v>
      </c>
      <c r="L151" s="1">
        <f t="shared" ca="1" si="21"/>
        <v>3</v>
      </c>
      <c r="M151" s="3" t="str">
        <f t="shared" ca="1" si="22"/>
        <v>Telecomunicaciones</v>
      </c>
    </row>
    <row r="152" spans="1:13" x14ac:dyDescent="0.3">
      <c r="A152" s="3">
        <f t="shared" si="16"/>
        <v>151</v>
      </c>
      <c r="B152" s="4">
        <f t="shared" ca="1" si="1"/>
        <v>45332</v>
      </c>
      <c r="C152" s="4" t="str">
        <f t="shared" ca="1" si="17"/>
        <v>2024-02</v>
      </c>
      <c r="D152" s="5">
        <f t="shared" ca="1" si="3"/>
        <v>0.90763888888888888</v>
      </c>
      <c r="E152" s="3" t="str" cm="1">
        <f t="array" aca="1" ref="E152" ca="1">INDEX(lista!$A$1:$A$12, RANDBETWEEN(1, 12))</f>
        <v>San Borja Sur</v>
      </c>
      <c r="F152" s="3" t="s">
        <v>24</v>
      </c>
      <c r="G152" s="3" t="str" cm="1">
        <f t="array" aca="1" ref="G152" ca="1">INDEX(lista!$B$1:$B$6, RANDBETWEEN(1, 6))</f>
        <v>Radio</v>
      </c>
      <c r="H152" s="3" t="str" cm="1">
        <f t="array" aca="1" ref="H152" ca="1">INDEX(lista!$C$1:$C$4, RANDBETWEEN(1, 4))</f>
        <v>Falla eléctrica</v>
      </c>
      <c r="I152" s="3" t="str">
        <f t="shared" ca="1" si="18"/>
        <v>Media</v>
      </c>
      <c r="J152" s="3" t="str">
        <f t="shared" ca="1" si="19"/>
        <v>Atendida</v>
      </c>
      <c r="K152" s="4">
        <f t="shared" ca="1" si="20"/>
        <v>45334</v>
      </c>
      <c r="L152" s="1">
        <f t="shared" ca="1" si="21"/>
        <v>14</v>
      </c>
      <c r="M152" s="3" t="str">
        <f t="shared" ca="1" si="22"/>
        <v>Telecomunicaciones</v>
      </c>
    </row>
    <row r="153" spans="1:13" x14ac:dyDescent="0.3">
      <c r="A153" s="3">
        <f t="shared" si="16"/>
        <v>152</v>
      </c>
      <c r="B153" s="4">
        <f t="shared" ca="1" si="1"/>
        <v>45116</v>
      </c>
      <c r="C153" s="4" t="str">
        <f t="shared" ca="1" si="17"/>
        <v>2023-07</v>
      </c>
      <c r="D153" s="5">
        <f t="shared" ca="1" si="3"/>
        <v>0.1111111111111111</v>
      </c>
      <c r="E153" s="3" t="str" cm="1">
        <f t="array" aca="1" ref="E153" ca="1">INDEX(lista!$A$1:$A$12, RANDBETWEEN(1, 12))</f>
        <v>Pumacahua</v>
      </c>
      <c r="F153" s="3" t="s">
        <v>24</v>
      </c>
      <c r="G153" s="3" t="str" cm="1">
        <f t="array" aca="1" ref="G153" ca="1">INDEX(lista!$B$1:$B$6, RANDBETWEEN(1, 6))</f>
        <v>Radio</v>
      </c>
      <c r="H153" s="3" t="str" cm="1">
        <f t="array" aca="1" ref="H153" ca="1">INDEX(lista!$C$1:$C$4, RANDBETWEEN(1, 4))</f>
        <v>Daño en infraestructura</v>
      </c>
      <c r="I153" s="3" t="str">
        <f t="shared" ca="1" si="18"/>
        <v>Alta</v>
      </c>
      <c r="J153" s="3" t="str">
        <f t="shared" ca="1" si="19"/>
        <v>Pendiente</v>
      </c>
      <c r="K153" s="4" t="str">
        <f t="shared" ca="1" si="20"/>
        <v/>
      </c>
      <c r="L153" s="1" t="str">
        <f t="shared" ca="1" si="21"/>
        <v/>
      </c>
      <c r="M153" s="3" t="str">
        <f t="shared" ca="1" si="22"/>
        <v>Telecomunicaciones</v>
      </c>
    </row>
    <row r="154" spans="1:13" x14ac:dyDescent="0.3">
      <c r="A154" s="3">
        <f t="shared" si="16"/>
        <v>153</v>
      </c>
      <c r="B154" s="4">
        <f t="shared" ca="1" si="1"/>
        <v>45147</v>
      </c>
      <c r="C154" s="4" t="str">
        <f t="shared" ca="1" si="17"/>
        <v>2023-08</v>
      </c>
      <c r="D154" s="5">
        <f t="shared" ca="1" si="3"/>
        <v>0.51597222222222228</v>
      </c>
      <c r="E154" s="3" t="str" cm="1">
        <f t="array" aca="1" ref="E154" ca="1">INDEX(lista!$A$1:$A$12, RANDBETWEEN(1, 12))</f>
        <v>Bayóvar</v>
      </c>
      <c r="F154" s="3" t="s">
        <v>24</v>
      </c>
      <c r="G154" s="3" t="str" cm="1">
        <f t="array" aca="1" ref="G154" ca="1">INDEX(lista!$B$1:$B$6, RANDBETWEEN(1, 6))</f>
        <v>Ascensor</v>
      </c>
      <c r="H154" s="3" t="str" cm="1">
        <f t="array" aca="1" ref="H154" ca="1">INDEX(lista!$C$1:$C$4, RANDBETWEEN(1, 4))</f>
        <v>Mantenimiento preventivo</v>
      </c>
      <c r="I154" s="3" t="str">
        <f t="shared" ca="1" si="18"/>
        <v>Baja</v>
      </c>
      <c r="J154" s="3" t="str">
        <f t="shared" ca="1" si="19"/>
        <v>En curso</v>
      </c>
      <c r="K154" s="4" t="str">
        <f t="shared" ca="1" si="20"/>
        <v/>
      </c>
      <c r="L154" s="1" t="str">
        <f t="shared" ca="1" si="21"/>
        <v/>
      </c>
      <c r="M154" s="3" t="str">
        <f t="shared" ca="1" si="22"/>
        <v>Mantenimiento</v>
      </c>
    </row>
    <row r="155" spans="1:13" x14ac:dyDescent="0.3">
      <c r="A155" s="3">
        <f t="shared" si="16"/>
        <v>154</v>
      </c>
      <c r="B155" s="4">
        <f t="shared" ca="1" si="1"/>
        <v>45462</v>
      </c>
      <c r="C155" s="4" t="str">
        <f t="shared" ca="1" si="17"/>
        <v>2024-06</v>
      </c>
      <c r="D155" s="5">
        <f t="shared" ca="1" si="3"/>
        <v>0.3347222222222222</v>
      </c>
      <c r="E155" s="3" t="str" cm="1">
        <f t="array" aca="1" ref="E155" ca="1">INDEX(lista!$A$1:$A$12, RANDBETWEEN(1, 12))</f>
        <v>La Cultura</v>
      </c>
      <c r="F155" s="3" t="s">
        <v>24</v>
      </c>
      <c r="G155" s="3" t="str" cm="1">
        <f t="array" aca="1" ref="G155" ca="1">INDEX(lista!$B$1:$B$6, RANDBETWEEN(1, 6))</f>
        <v>MET</v>
      </c>
      <c r="H155" s="3" t="str" cm="1">
        <f t="array" aca="1" ref="H155" ca="1">INDEX(lista!$C$1:$C$4, RANDBETWEEN(1, 4))</f>
        <v>Daño en infraestructura</v>
      </c>
      <c r="I155" s="3" t="str">
        <f t="shared" ca="1" si="18"/>
        <v>Baja</v>
      </c>
      <c r="J155" s="3" t="str">
        <f t="shared" ca="1" si="19"/>
        <v>Atendida</v>
      </c>
      <c r="K155" s="4">
        <f t="shared" ca="1" si="20"/>
        <v>45462</v>
      </c>
      <c r="L155" s="1">
        <f t="shared" ca="1" si="21"/>
        <v>24</v>
      </c>
      <c r="M155" s="3" t="str">
        <f t="shared" ca="1" si="22"/>
        <v>Telecomunicaciones</v>
      </c>
    </row>
    <row r="156" spans="1:13" x14ac:dyDescent="0.3">
      <c r="A156" s="3">
        <f t="shared" si="16"/>
        <v>155</v>
      </c>
      <c r="B156" s="4">
        <f t="shared" ca="1" si="1"/>
        <v>44948</v>
      </c>
      <c r="C156" s="4" t="str">
        <f t="shared" ca="1" si="17"/>
        <v>2023-01</v>
      </c>
      <c r="D156" s="5">
        <f t="shared" ca="1" si="3"/>
        <v>0.62569444444444444</v>
      </c>
      <c r="E156" s="3" t="str" cm="1">
        <f t="array" aca="1" ref="E156" ca="1">INDEX(lista!$A$1:$A$12, RANDBETWEEN(1, 12))</f>
        <v>San Carlos</v>
      </c>
      <c r="F156" s="3" t="s">
        <v>24</v>
      </c>
      <c r="G156" s="3" t="str" cm="1">
        <f t="array" aca="1" ref="G156" ca="1">INDEX(lista!$B$1:$B$6, RANDBETWEEN(1, 6))</f>
        <v>Radio</v>
      </c>
      <c r="H156" s="3" t="str" cm="1">
        <f t="array" aca="1" ref="H156" ca="1">INDEX(lista!$C$1:$C$4, RANDBETWEEN(1, 4))</f>
        <v>Falla eléctrica</v>
      </c>
      <c r="I156" s="3" t="str">
        <f t="shared" ca="1" si="18"/>
        <v>Alta</v>
      </c>
      <c r="J156" s="3" t="str">
        <f t="shared" ca="1" si="19"/>
        <v>En curso</v>
      </c>
      <c r="K156" s="4" t="str">
        <f t="shared" ca="1" si="20"/>
        <v/>
      </c>
      <c r="L156" s="1" t="str">
        <f t="shared" ca="1" si="21"/>
        <v/>
      </c>
      <c r="M156" s="3" t="str">
        <f t="shared" ca="1" si="22"/>
        <v>Telecomunicaciones</v>
      </c>
    </row>
    <row r="157" spans="1:13" x14ac:dyDescent="0.3">
      <c r="A157" s="3">
        <f t="shared" si="16"/>
        <v>156</v>
      </c>
      <c r="B157" s="4">
        <f t="shared" ca="1" si="1"/>
        <v>45157</v>
      </c>
      <c r="C157" s="4" t="str">
        <f t="shared" ca="1" si="17"/>
        <v>2023-08</v>
      </c>
      <c r="D157" s="5">
        <f t="shared" ca="1" si="3"/>
        <v>0.74236111111111114</v>
      </c>
      <c r="E157" s="3" t="str" cm="1">
        <f t="array" aca="1" ref="E157" ca="1">INDEX(lista!$A$1:$A$12, RANDBETWEEN(1, 12))</f>
        <v>Gamarra</v>
      </c>
      <c r="F157" s="3" t="s">
        <v>24</v>
      </c>
      <c r="G157" s="3" t="str" cm="1">
        <f t="array" aca="1" ref="G157" ca="1">INDEX(lista!$B$1:$B$6, RANDBETWEEN(1, 6))</f>
        <v>TVM</v>
      </c>
      <c r="H157" s="3" t="str" cm="1">
        <f t="array" aca="1" ref="H157" ca="1">INDEX(lista!$C$1:$C$4, RANDBETWEEN(1, 4))</f>
        <v>Daño en infraestructura</v>
      </c>
      <c r="I157" s="3" t="str">
        <f t="shared" ca="1" si="18"/>
        <v>Baja</v>
      </c>
      <c r="J157" s="3" t="str">
        <f t="shared" ca="1" si="19"/>
        <v>Atendida</v>
      </c>
      <c r="K157" s="4">
        <f t="shared" ca="1" si="20"/>
        <v>45159</v>
      </c>
      <c r="L157" s="1">
        <f t="shared" ca="1" si="21"/>
        <v>3</v>
      </c>
      <c r="M157" s="3" t="str">
        <f t="shared" ca="1" si="22"/>
        <v>Telecomunicaciones</v>
      </c>
    </row>
    <row r="158" spans="1:13" x14ac:dyDescent="0.3">
      <c r="A158" s="3">
        <f t="shared" si="16"/>
        <v>157</v>
      </c>
      <c r="B158" s="4">
        <f t="shared" ca="1" si="1"/>
        <v>44947</v>
      </c>
      <c r="C158" s="4" t="str">
        <f t="shared" ca="1" si="17"/>
        <v>2023-01</v>
      </c>
      <c r="D158" s="5">
        <f t="shared" ca="1" si="3"/>
        <v>0.26805555555555555</v>
      </c>
      <c r="E158" s="3" t="str" cm="1">
        <f t="array" aca="1" ref="E158" ca="1">INDEX(lista!$A$1:$A$12, RANDBETWEEN(1, 12))</f>
        <v>Ayacucho</v>
      </c>
      <c r="F158" s="3" t="s">
        <v>24</v>
      </c>
      <c r="G158" s="3" t="str" cm="1">
        <f t="array" aca="1" ref="G158" ca="1">INDEX(lista!$B$1:$B$6, RANDBETWEEN(1, 6))</f>
        <v>Ascensor</v>
      </c>
      <c r="H158" s="3" t="str" cm="1">
        <f t="array" aca="1" ref="H158" ca="1">INDEX(lista!$C$1:$C$4, RANDBETWEEN(1, 4))</f>
        <v>Falla eléctrica</v>
      </c>
      <c r="I158" s="3" t="str">
        <f t="shared" ca="1" si="18"/>
        <v>Alta</v>
      </c>
      <c r="J158" s="3" t="str">
        <f t="shared" ca="1" si="19"/>
        <v>Atendida</v>
      </c>
      <c r="K158" s="4">
        <f t="shared" ca="1" si="20"/>
        <v>44947</v>
      </c>
      <c r="L158" s="1">
        <f t="shared" ca="1" si="21"/>
        <v>24</v>
      </c>
      <c r="M158" s="3" t="str">
        <f t="shared" ca="1" si="22"/>
        <v>Mantenimiento</v>
      </c>
    </row>
    <row r="159" spans="1:13" x14ac:dyDescent="0.3">
      <c r="A159" s="3">
        <f t="shared" si="16"/>
        <v>158</v>
      </c>
      <c r="B159" s="4">
        <f t="shared" ca="1" si="1"/>
        <v>45114</v>
      </c>
      <c r="C159" s="4" t="str">
        <f t="shared" ca="1" si="17"/>
        <v>2023-07</v>
      </c>
      <c r="D159" s="5">
        <f t="shared" ca="1" si="3"/>
        <v>0.21111111111111111</v>
      </c>
      <c r="E159" s="3" t="str" cm="1">
        <f t="array" aca="1" ref="E159" ca="1">INDEX(lista!$A$1:$A$12, RANDBETWEEN(1, 12))</f>
        <v>San Borja Sur</v>
      </c>
      <c r="F159" s="3" t="s">
        <v>24</v>
      </c>
      <c r="G159" s="3" t="str" cm="1">
        <f t="array" aca="1" ref="G159" ca="1">INDEX(lista!$B$1:$B$6, RANDBETWEEN(1, 6))</f>
        <v>Ascensor</v>
      </c>
      <c r="H159" s="3" t="str" cm="1">
        <f t="array" aca="1" ref="H159" ca="1">INDEX(lista!$C$1:$C$4, RANDBETWEEN(1, 4))</f>
        <v>Mantenimiento preventivo</v>
      </c>
      <c r="I159" s="3" t="str">
        <f t="shared" ca="1" si="18"/>
        <v>Alta</v>
      </c>
      <c r="J159" s="3" t="str">
        <f t="shared" ca="1" si="19"/>
        <v>Atendida</v>
      </c>
      <c r="K159" s="4">
        <f t="shared" ca="1" si="20"/>
        <v>45114</v>
      </c>
      <c r="L159" s="1">
        <f t="shared" ca="1" si="21"/>
        <v>18</v>
      </c>
      <c r="M159" s="3" t="str">
        <f t="shared" ca="1" si="22"/>
        <v>Mantenimiento</v>
      </c>
    </row>
    <row r="160" spans="1:13" x14ac:dyDescent="0.3">
      <c r="A160" s="3">
        <f t="shared" si="16"/>
        <v>159</v>
      </c>
      <c r="B160" s="4">
        <f t="shared" ca="1" si="1"/>
        <v>45095</v>
      </c>
      <c r="C160" s="4" t="str">
        <f t="shared" ca="1" si="17"/>
        <v>2023-06</v>
      </c>
      <c r="D160" s="5">
        <f t="shared" ca="1" si="3"/>
        <v>5.9722222222222218E-2</v>
      </c>
      <c r="E160" s="3" t="str" cm="1">
        <f t="array" aca="1" ref="E160" ca="1">INDEX(lista!$A$1:$A$12, RANDBETWEEN(1, 12))</f>
        <v>Bayóvar</v>
      </c>
      <c r="F160" s="3" t="s">
        <v>24</v>
      </c>
      <c r="G160" s="3" t="str" cm="1">
        <f t="array" aca="1" ref="G160" ca="1">INDEX(lista!$B$1:$B$6, RANDBETWEEN(1, 6))</f>
        <v>Escalera eléctrica</v>
      </c>
      <c r="H160" s="3" t="str" cm="1">
        <f t="array" aca="1" ref="H160" ca="1">INDEX(lista!$C$1:$C$4, RANDBETWEEN(1, 4))</f>
        <v>Falla mecánica</v>
      </c>
      <c r="I160" s="3" t="str">
        <f t="shared" ca="1" si="18"/>
        <v>Alta</v>
      </c>
      <c r="J160" s="3" t="str">
        <f t="shared" ca="1" si="19"/>
        <v>Atendida</v>
      </c>
      <c r="K160" s="4">
        <f t="shared" ca="1" si="20"/>
        <v>45097</v>
      </c>
      <c r="L160" s="1">
        <f t="shared" ca="1" si="21"/>
        <v>2</v>
      </c>
      <c r="M160" s="3" t="str">
        <f t="shared" ca="1" si="22"/>
        <v>Mantenimiento</v>
      </c>
    </row>
    <row r="161" spans="1:13" x14ac:dyDescent="0.3">
      <c r="A161" s="3">
        <f t="shared" si="16"/>
        <v>160</v>
      </c>
      <c r="B161" s="4">
        <f t="shared" ca="1" si="1"/>
        <v>45342</v>
      </c>
      <c r="C161" s="4" t="str">
        <f t="shared" ca="1" si="17"/>
        <v>2024-02</v>
      </c>
      <c r="D161" s="5">
        <f t="shared" ca="1" si="3"/>
        <v>0.78125</v>
      </c>
      <c r="E161" s="3" t="str" cm="1">
        <f t="array" aca="1" ref="E161" ca="1">INDEX(lista!$A$1:$A$12, RANDBETWEEN(1, 12))</f>
        <v>San Borja Sur</v>
      </c>
      <c r="F161" s="3" t="s">
        <v>24</v>
      </c>
      <c r="G161" s="3" t="str" cm="1">
        <f t="array" aca="1" ref="G161" ca="1">INDEX(lista!$B$1:$B$6, RANDBETWEEN(1, 6))</f>
        <v>Escalera eléctrica</v>
      </c>
      <c r="H161" s="3" t="str" cm="1">
        <f t="array" aca="1" ref="H161" ca="1">INDEX(lista!$C$1:$C$4, RANDBETWEEN(1, 4))</f>
        <v>Falla eléctrica</v>
      </c>
      <c r="I161" s="3" t="str">
        <f t="shared" ca="1" si="18"/>
        <v>Baja</v>
      </c>
      <c r="J161" s="3" t="str">
        <f t="shared" ca="1" si="19"/>
        <v>Atendida</v>
      </c>
      <c r="K161" s="4">
        <f t="shared" ca="1" si="20"/>
        <v>45343</v>
      </c>
      <c r="L161" s="1">
        <f t="shared" ca="1" si="21"/>
        <v>22</v>
      </c>
      <c r="M161" s="3" t="str">
        <f t="shared" ca="1" si="22"/>
        <v>Mantenimiento</v>
      </c>
    </row>
    <row r="162" spans="1:13" x14ac:dyDescent="0.3">
      <c r="A162" s="3">
        <f t="shared" si="16"/>
        <v>161</v>
      </c>
      <c r="B162" s="4">
        <f t="shared" ca="1" si="1"/>
        <v>45046</v>
      </c>
      <c r="C162" s="4" t="str">
        <f t="shared" ca="1" si="17"/>
        <v>2023-04</v>
      </c>
      <c r="D162" s="5">
        <f t="shared" ca="1" si="3"/>
        <v>0.15833333333333333</v>
      </c>
      <c r="E162" s="3" t="str" cm="1">
        <f t="array" aca="1" ref="E162" ca="1">INDEX(lista!$A$1:$A$12, RANDBETWEEN(1, 12))</f>
        <v>La Cultura</v>
      </c>
      <c r="F162" s="3" t="s">
        <v>24</v>
      </c>
      <c r="G162" s="3" t="str" cm="1">
        <f t="array" aca="1" ref="G162" ca="1">INDEX(lista!$B$1:$B$6, RANDBETWEEN(1, 6))</f>
        <v>Radio</v>
      </c>
      <c r="H162" s="3" t="str" cm="1">
        <f t="array" aca="1" ref="H162" ca="1">INDEX(lista!$C$1:$C$4, RANDBETWEEN(1, 4))</f>
        <v>Mantenimiento preventivo</v>
      </c>
      <c r="I162" s="3" t="str">
        <f t="shared" ca="1" si="18"/>
        <v>Media</v>
      </c>
      <c r="J162" s="3" t="str">
        <f t="shared" ca="1" si="19"/>
        <v>En curso</v>
      </c>
      <c r="K162" s="4" t="str">
        <f t="shared" ca="1" si="20"/>
        <v/>
      </c>
      <c r="L162" s="1" t="str">
        <f t="shared" ca="1" si="21"/>
        <v/>
      </c>
      <c r="M162" s="3" t="str">
        <f t="shared" ca="1" si="22"/>
        <v>Telecomunicaciones</v>
      </c>
    </row>
    <row r="163" spans="1:13" x14ac:dyDescent="0.3">
      <c r="A163" s="3">
        <f t="shared" si="16"/>
        <v>162</v>
      </c>
      <c r="B163" s="4">
        <f t="shared" ca="1" si="1"/>
        <v>45495</v>
      </c>
      <c r="C163" s="4" t="str">
        <f t="shared" ca="1" si="17"/>
        <v>2024-07</v>
      </c>
      <c r="D163" s="5">
        <f t="shared" ca="1" si="3"/>
        <v>0.16944444444444443</v>
      </c>
      <c r="E163" s="3" t="str" cm="1">
        <f t="array" aca="1" ref="E163" ca="1">INDEX(lista!$A$1:$A$12, RANDBETWEEN(1, 12))</f>
        <v>San Carlos</v>
      </c>
      <c r="F163" s="3" t="s">
        <v>24</v>
      </c>
      <c r="G163" s="3" t="str" cm="1">
        <f t="array" aca="1" ref="G163" ca="1">INDEX(lista!$B$1:$B$6, RANDBETWEEN(1, 6))</f>
        <v>Radio</v>
      </c>
      <c r="H163" s="3" t="str" cm="1">
        <f t="array" aca="1" ref="H163" ca="1">INDEX(lista!$C$1:$C$4, RANDBETWEEN(1, 4))</f>
        <v>Mantenimiento preventivo</v>
      </c>
      <c r="I163" s="3" t="str">
        <f t="shared" ca="1" si="18"/>
        <v>Media</v>
      </c>
      <c r="J163" s="3" t="str">
        <f t="shared" ca="1" si="19"/>
        <v>Atendida</v>
      </c>
      <c r="K163" s="4">
        <f t="shared" ca="1" si="20"/>
        <v>45497</v>
      </c>
      <c r="L163" s="1">
        <f t="shared" ca="1" si="21"/>
        <v>4</v>
      </c>
      <c r="M163" s="3" t="str">
        <f t="shared" ca="1" si="22"/>
        <v>Telecomunicaciones</v>
      </c>
    </row>
    <row r="164" spans="1:13" x14ac:dyDescent="0.3">
      <c r="A164" s="3">
        <f t="shared" si="16"/>
        <v>163</v>
      </c>
      <c r="B164" s="4">
        <f t="shared" ca="1" si="1"/>
        <v>44927</v>
      </c>
      <c r="C164" s="4" t="str">
        <f t="shared" ca="1" si="17"/>
        <v>2023-01</v>
      </c>
      <c r="D164" s="5">
        <f t="shared" ca="1" si="3"/>
        <v>0.93402777777777779</v>
      </c>
      <c r="E164" s="3" t="str" cm="1">
        <f t="array" aca="1" ref="E164" ca="1">INDEX(lista!$A$1:$A$12, RANDBETWEEN(1, 12))</f>
        <v>Atocongo</v>
      </c>
      <c r="F164" s="3" t="s">
        <v>24</v>
      </c>
      <c r="G164" s="3" t="str" cm="1">
        <f t="array" aca="1" ref="G164" ca="1">INDEX(lista!$B$1:$B$6, RANDBETWEEN(1, 6))</f>
        <v>MET</v>
      </c>
      <c r="H164" s="3" t="str" cm="1">
        <f t="array" aca="1" ref="H164" ca="1">INDEX(lista!$C$1:$C$4, RANDBETWEEN(1, 4))</f>
        <v>Mantenimiento preventivo</v>
      </c>
      <c r="I164" s="3" t="str">
        <f t="shared" ca="1" si="18"/>
        <v>Media</v>
      </c>
      <c r="J164" s="3" t="str">
        <f t="shared" ca="1" si="19"/>
        <v>Atendida</v>
      </c>
      <c r="K164" s="4">
        <f t="shared" ca="1" si="20"/>
        <v>44927</v>
      </c>
      <c r="L164" s="1">
        <f t="shared" ca="1" si="21"/>
        <v>12</v>
      </c>
      <c r="M164" s="3" t="str">
        <f t="shared" ca="1" si="22"/>
        <v>Telecomunicaciones</v>
      </c>
    </row>
    <row r="165" spans="1:13" x14ac:dyDescent="0.3">
      <c r="A165" s="3">
        <f t="shared" si="16"/>
        <v>164</v>
      </c>
      <c r="B165" s="4">
        <f t="shared" ca="1" si="1"/>
        <v>45627</v>
      </c>
      <c r="C165" s="4" t="str">
        <f t="shared" ca="1" si="17"/>
        <v>2024-12</v>
      </c>
      <c r="D165" s="5">
        <f t="shared" ca="1" si="3"/>
        <v>3.4722222222222224E-2</v>
      </c>
      <c r="E165" s="3" t="str" cm="1">
        <f t="array" aca="1" ref="E165" ca="1">INDEX(lista!$A$1:$A$12, RANDBETWEEN(1, 12))</f>
        <v>Gamarra</v>
      </c>
      <c r="F165" s="3" t="s">
        <v>24</v>
      </c>
      <c r="G165" s="3" t="str" cm="1">
        <f t="array" aca="1" ref="G165" ca="1">INDEX(lista!$B$1:$B$6, RANDBETWEEN(1, 6))</f>
        <v>Escalera eléctrica</v>
      </c>
      <c r="H165" s="3" t="str" cm="1">
        <f t="array" aca="1" ref="H165" ca="1">INDEX(lista!$C$1:$C$4, RANDBETWEEN(1, 4))</f>
        <v>Falla mecánica</v>
      </c>
      <c r="I165" s="3" t="str">
        <f t="shared" ca="1" si="18"/>
        <v>Baja</v>
      </c>
      <c r="J165" s="3" t="str">
        <f t="shared" ca="1" si="19"/>
        <v>En curso</v>
      </c>
      <c r="K165" s="4" t="str">
        <f t="shared" ca="1" si="20"/>
        <v/>
      </c>
      <c r="L165" s="1" t="str">
        <f t="shared" ca="1" si="21"/>
        <v/>
      </c>
      <c r="M165" s="3" t="str">
        <f t="shared" ca="1" si="22"/>
        <v>Mantenimiento</v>
      </c>
    </row>
    <row r="166" spans="1:13" x14ac:dyDescent="0.3">
      <c r="A166" s="3">
        <f t="shared" si="16"/>
        <v>165</v>
      </c>
      <c r="B166" s="4">
        <f t="shared" ca="1" si="1"/>
        <v>45402</v>
      </c>
      <c r="C166" s="4" t="str">
        <f t="shared" ca="1" si="17"/>
        <v>2024-04</v>
      </c>
      <c r="D166" s="5">
        <f t="shared" ca="1" si="3"/>
        <v>0.23680555555555557</v>
      </c>
      <c r="E166" s="3" t="str" cm="1">
        <f t="array" aca="1" ref="E166" ca="1">INDEX(lista!$A$1:$A$12, RANDBETWEEN(1, 12))</f>
        <v>Pumacahua</v>
      </c>
      <c r="F166" s="3" t="s">
        <v>24</v>
      </c>
      <c r="G166" s="3" t="str" cm="1">
        <f t="array" aca="1" ref="G166" ca="1">INDEX(lista!$B$1:$B$6, RANDBETWEEN(1, 6))</f>
        <v>Ascensor</v>
      </c>
      <c r="H166" s="3" t="str" cm="1">
        <f t="array" aca="1" ref="H166" ca="1">INDEX(lista!$C$1:$C$4, RANDBETWEEN(1, 4))</f>
        <v>Daño en infraestructura</v>
      </c>
      <c r="I166" s="3" t="str">
        <f t="shared" ca="1" si="18"/>
        <v>Alta</v>
      </c>
      <c r="J166" s="3" t="str">
        <f t="shared" ca="1" si="19"/>
        <v>Pendiente</v>
      </c>
      <c r="K166" s="4" t="str">
        <f t="shared" ca="1" si="20"/>
        <v/>
      </c>
      <c r="L166" s="1" t="str">
        <f t="shared" ca="1" si="21"/>
        <v/>
      </c>
      <c r="M166" s="3" t="str">
        <f t="shared" ca="1" si="22"/>
        <v>Mantenimiento</v>
      </c>
    </row>
    <row r="167" spans="1:13" x14ac:dyDescent="0.3">
      <c r="A167" s="3">
        <f t="shared" si="16"/>
        <v>166</v>
      </c>
      <c r="B167" s="4">
        <f t="shared" ca="1" si="1"/>
        <v>45043</v>
      </c>
      <c r="C167" s="4" t="str">
        <f t="shared" ca="1" si="17"/>
        <v>2023-04</v>
      </c>
      <c r="D167" s="5">
        <f t="shared" ca="1" si="3"/>
        <v>0.6826388888888888</v>
      </c>
      <c r="E167" s="3" t="str" cm="1">
        <f t="array" aca="1" ref="E167" ca="1">INDEX(lista!$A$1:$A$12, RANDBETWEEN(1, 12))</f>
        <v>Ayacucho</v>
      </c>
      <c r="F167" s="3" t="s">
        <v>24</v>
      </c>
      <c r="G167" s="3" t="str" cm="1">
        <f t="array" aca="1" ref="G167" ca="1">INDEX(lista!$B$1:$B$6, RANDBETWEEN(1, 6))</f>
        <v>Ascensor</v>
      </c>
      <c r="H167" s="3" t="str" cm="1">
        <f t="array" aca="1" ref="H167" ca="1">INDEX(lista!$C$1:$C$4, RANDBETWEEN(1, 4))</f>
        <v>Mantenimiento preventivo</v>
      </c>
      <c r="I167" s="3" t="str">
        <f t="shared" ca="1" si="18"/>
        <v>Baja</v>
      </c>
      <c r="J167" s="3" t="str">
        <f t="shared" ca="1" si="19"/>
        <v>Atendida</v>
      </c>
      <c r="K167" s="4">
        <f t="shared" ca="1" si="20"/>
        <v>45045</v>
      </c>
      <c r="L167" s="1">
        <f t="shared" ca="1" si="21"/>
        <v>19</v>
      </c>
      <c r="M167" s="3" t="str">
        <f t="shared" ca="1" si="22"/>
        <v>Mantenimiento</v>
      </c>
    </row>
    <row r="168" spans="1:13" x14ac:dyDescent="0.3">
      <c r="A168" s="3">
        <f t="shared" si="16"/>
        <v>167</v>
      </c>
      <c r="B168" s="4">
        <f t="shared" ca="1" si="1"/>
        <v>45572</v>
      </c>
      <c r="C168" s="4" t="str">
        <f t="shared" ca="1" si="17"/>
        <v>2024-10</v>
      </c>
      <c r="D168" s="5">
        <f t="shared" ca="1" si="3"/>
        <v>0.38333333333333336</v>
      </c>
      <c r="E168" s="3" t="str" cm="1">
        <f t="array" aca="1" ref="E168" ca="1">INDEX(lista!$A$1:$A$12, RANDBETWEEN(1, 12))</f>
        <v>Atocongo</v>
      </c>
      <c r="F168" s="3" t="s">
        <v>24</v>
      </c>
      <c r="G168" s="3" t="str" cm="1">
        <f t="array" aca="1" ref="G168" ca="1">INDEX(lista!$B$1:$B$6, RANDBETWEEN(1, 6))</f>
        <v>Torniquete</v>
      </c>
      <c r="H168" s="3" t="str" cm="1">
        <f t="array" aca="1" ref="H168" ca="1">INDEX(lista!$C$1:$C$4, RANDBETWEEN(1, 4))</f>
        <v>Mantenimiento preventivo</v>
      </c>
      <c r="I168" s="3" t="str">
        <f t="shared" ca="1" si="18"/>
        <v>Alta</v>
      </c>
      <c r="J168" s="3" t="str">
        <f t="shared" ca="1" si="19"/>
        <v>Pendiente</v>
      </c>
      <c r="K168" s="4" t="str">
        <f t="shared" ca="1" si="20"/>
        <v/>
      </c>
      <c r="L168" s="1" t="str">
        <f t="shared" ca="1" si="21"/>
        <v/>
      </c>
      <c r="M168" s="3" t="str">
        <f t="shared" ca="1" si="22"/>
        <v>Telecomunicaciones</v>
      </c>
    </row>
    <row r="169" spans="1:13" x14ac:dyDescent="0.3">
      <c r="A169" s="3">
        <f t="shared" si="16"/>
        <v>168</v>
      </c>
      <c r="B169" s="4">
        <f t="shared" ca="1" si="1"/>
        <v>45584</v>
      </c>
      <c r="C169" s="4" t="str">
        <f t="shared" ca="1" si="17"/>
        <v>2024-10</v>
      </c>
      <c r="D169" s="5">
        <f t="shared" ca="1" si="3"/>
        <v>0.39583333333333331</v>
      </c>
      <c r="E169" s="3" t="str" cm="1">
        <f t="array" aca="1" ref="E169" ca="1">INDEX(lista!$A$1:$A$12, RANDBETWEEN(1, 12))</f>
        <v>Atocongo</v>
      </c>
      <c r="F169" s="3" t="s">
        <v>24</v>
      </c>
      <c r="G169" s="3" t="str" cm="1">
        <f t="array" aca="1" ref="G169" ca="1">INDEX(lista!$B$1:$B$6, RANDBETWEEN(1, 6))</f>
        <v>TVM</v>
      </c>
      <c r="H169" s="3" t="str" cm="1">
        <f t="array" aca="1" ref="H169" ca="1">INDEX(lista!$C$1:$C$4, RANDBETWEEN(1, 4))</f>
        <v>Mantenimiento preventivo</v>
      </c>
      <c r="I169" s="3" t="str">
        <f t="shared" ca="1" si="18"/>
        <v>Alta</v>
      </c>
      <c r="J169" s="3" t="str">
        <f t="shared" ca="1" si="19"/>
        <v>En curso</v>
      </c>
      <c r="K169" s="4" t="str">
        <f t="shared" ca="1" si="20"/>
        <v/>
      </c>
      <c r="L169" s="1" t="str">
        <f t="shared" ca="1" si="21"/>
        <v/>
      </c>
      <c r="M169" s="3" t="str">
        <f t="shared" ca="1" si="22"/>
        <v>Telecomunicaciones</v>
      </c>
    </row>
    <row r="170" spans="1:13" x14ac:dyDescent="0.3">
      <c r="A170" s="3">
        <f t="shared" si="16"/>
        <v>169</v>
      </c>
      <c r="B170" s="4">
        <f t="shared" ca="1" si="1"/>
        <v>45008</v>
      </c>
      <c r="C170" s="4" t="str">
        <f t="shared" ca="1" si="17"/>
        <v>2023-03</v>
      </c>
      <c r="D170" s="5">
        <f t="shared" ca="1" si="3"/>
        <v>0.3972222222222222</v>
      </c>
      <c r="E170" s="3" t="str" cm="1">
        <f t="array" aca="1" ref="E170" ca="1">INDEX(lista!$A$1:$A$12, RANDBETWEEN(1, 12))</f>
        <v>San Carlos</v>
      </c>
      <c r="F170" s="3" t="s">
        <v>24</v>
      </c>
      <c r="G170" s="3" t="str" cm="1">
        <f t="array" aca="1" ref="G170" ca="1">INDEX(lista!$B$1:$B$6, RANDBETWEEN(1, 6))</f>
        <v>TVM</v>
      </c>
      <c r="H170" s="3" t="str" cm="1">
        <f t="array" aca="1" ref="H170" ca="1">INDEX(lista!$C$1:$C$4, RANDBETWEEN(1, 4))</f>
        <v>Falla eléctrica</v>
      </c>
      <c r="I170" s="3" t="str">
        <f t="shared" ca="1" si="18"/>
        <v>Alta</v>
      </c>
      <c r="J170" s="3" t="str">
        <f t="shared" ca="1" si="19"/>
        <v>Atendida</v>
      </c>
      <c r="K170" s="4">
        <f t="shared" ca="1" si="20"/>
        <v>45009</v>
      </c>
      <c r="L170" s="1">
        <f t="shared" ca="1" si="21"/>
        <v>1</v>
      </c>
      <c r="M170" s="3" t="str">
        <f t="shared" ca="1" si="22"/>
        <v>Telecomunicaciones</v>
      </c>
    </row>
    <row r="171" spans="1:13" x14ac:dyDescent="0.3">
      <c r="A171" s="3">
        <f t="shared" si="16"/>
        <v>170</v>
      </c>
      <c r="B171" s="4">
        <f t="shared" ca="1" si="1"/>
        <v>45173</v>
      </c>
      <c r="C171" s="4" t="str">
        <f t="shared" ca="1" si="17"/>
        <v>2023-09</v>
      </c>
      <c r="D171" s="5">
        <f t="shared" ca="1" si="3"/>
        <v>0.69652777777777775</v>
      </c>
      <c r="E171" s="3" t="str" cm="1">
        <f t="array" aca="1" ref="E171" ca="1">INDEX(lista!$A$1:$A$12, RANDBETWEEN(1, 12))</f>
        <v>Villa El Salvador</v>
      </c>
      <c r="F171" s="3" t="s">
        <v>24</v>
      </c>
      <c r="G171" s="3" t="str" cm="1">
        <f t="array" aca="1" ref="G171" ca="1">INDEX(lista!$B$1:$B$6, RANDBETWEEN(1, 6))</f>
        <v>Escalera eléctrica</v>
      </c>
      <c r="H171" s="3" t="str" cm="1">
        <f t="array" aca="1" ref="H171" ca="1">INDEX(lista!$C$1:$C$4, RANDBETWEEN(1, 4))</f>
        <v>Falla mecánica</v>
      </c>
      <c r="I171" s="3" t="str">
        <f t="shared" ca="1" si="18"/>
        <v>Baja</v>
      </c>
      <c r="J171" s="3" t="str">
        <f t="shared" ca="1" si="19"/>
        <v>Pendiente</v>
      </c>
      <c r="K171" s="4" t="str">
        <f t="shared" ca="1" si="20"/>
        <v/>
      </c>
      <c r="L171" s="1" t="str">
        <f t="shared" ca="1" si="21"/>
        <v/>
      </c>
      <c r="M171" s="3" t="str">
        <f t="shared" ca="1" si="22"/>
        <v>Mantenimiento</v>
      </c>
    </row>
    <row r="172" spans="1:13" x14ac:dyDescent="0.3">
      <c r="A172" s="3">
        <f t="shared" si="16"/>
        <v>171</v>
      </c>
      <c r="B172" s="4">
        <f t="shared" ca="1" si="1"/>
        <v>45508</v>
      </c>
      <c r="C172" s="4" t="str">
        <f t="shared" ca="1" si="17"/>
        <v>2024-08</v>
      </c>
      <c r="D172" s="5">
        <f t="shared" ca="1" si="3"/>
        <v>0.17777777777777776</v>
      </c>
      <c r="E172" s="3" t="str" cm="1">
        <f t="array" aca="1" ref="E172" ca="1">INDEX(lista!$A$1:$A$12, RANDBETWEEN(1, 12))</f>
        <v>Pumacahua</v>
      </c>
      <c r="F172" s="3" t="s">
        <v>24</v>
      </c>
      <c r="G172" s="3" t="str" cm="1">
        <f t="array" aca="1" ref="G172" ca="1">INDEX(lista!$B$1:$B$6, RANDBETWEEN(1, 6))</f>
        <v>MET</v>
      </c>
      <c r="H172" s="3" t="str" cm="1">
        <f t="array" aca="1" ref="H172" ca="1">INDEX(lista!$C$1:$C$4, RANDBETWEEN(1, 4))</f>
        <v>Falla eléctrica</v>
      </c>
      <c r="I172" s="3" t="str">
        <f t="shared" ca="1" si="18"/>
        <v>Media</v>
      </c>
      <c r="J172" s="3" t="str">
        <f t="shared" ca="1" si="19"/>
        <v>Atendida</v>
      </c>
      <c r="K172" s="4">
        <f t="shared" ca="1" si="20"/>
        <v>45510</v>
      </c>
      <c r="L172" s="1">
        <f t="shared" ca="1" si="21"/>
        <v>3</v>
      </c>
      <c r="M172" s="3" t="str">
        <f t="shared" ca="1" si="22"/>
        <v>Telecomunicaciones</v>
      </c>
    </row>
    <row r="173" spans="1:13" x14ac:dyDescent="0.3">
      <c r="A173" s="3">
        <f t="shared" si="16"/>
        <v>172</v>
      </c>
      <c r="B173" s="4">
        <f t="shared" ca="1" si="1"/>
        <v>45337</v>
      </c>
      <c r="C173" s="4" t="str">
        <f t="shared" ca="1" si="17"/>
        <v>2024-02</v>
      </c>
      <c r="D173" s="5">
        <f t="shared" ca="1" si="3"/>
        <v>0.60277777777777786</v>
      </c>
      <c r="E173" s="3" t="str" cm="1">
        <f t="array" aca="1" ref="E173" ca="1">INDEX(lista!$A$1:$A$12, RANDBETWEEN(1, 12))</f>
        <v>Cabitos</v>
      </c>
      <c r="F173" s="3" t="s">
        <v>24</v>
      </c>
      <c r="G173" s="3" t="str" cm="1">
        <f t="array" aca="1" ref="G173" ca="1">INDEX(lista!$B$1:$B$6, RANDBETWEEN(1, 6))</f>
        <v>Escalera eléctrica</v>
      </c>
      <c r="H173" s="3" t="str" cm="1">
        <f t="array" aca="1" ref="H173" ca="1">INDEX(lista!$C$1:$C$4, RANDBETWEEN(1, 4))</f>
        <v>Falla mecánica</v>
      </c>
      <c r="I173" s="3" t="str">
        <f t="shared" ca="1" si="18"/>
        <v>Baja</v>
      </c>
      <c r="J173" s="3" t="str">
        <f t="shared" ca="1" si="19"/>
        <v>En curso</v>
      </c>
      <c r="K173" s="4" t="str">
        <f t="shared" ca="1" si="20"/>
        <v/>
      </c>
      <c r="L173" s="1" t="str">
        <f t="shared" ca="1" si="21"/>
        <v/>
      </c>
      <c r="M173" s="3" t="str">
        <f t="shared" ca="1" si="22"/>
        <v>Mantenimiento</v>
      </c>
    </row>
    <row r="174" spans="1:13" x14ac:dyDescent="0.3">
      <c r="A174" s="3">
        <f t="shared" si="16"/>
        <v>173</v>
      </c>
      <c r="B174" s="4">
        <f t="shared" ca="1" si="1"/>
        <v>45439</v>
      </c>
      <c r="C174" s="4" t="str">
        <f t="shared" ca="1" si="17"/>
        <v>2024-05</v>
      </c>
      <c r="D174" s="5">
        <f t="shared" ca="1" si="3"/>
        <v>0.35277777777777775</v>
      </c>
      <c r="E174" s="3" t="str" cm="1">
        <f t="array" aca="1" ref="E174" ca="1">INDEX(lista!$A$1:$A$12, RANDBETWEEN(1, 12))</f>
        <v>Atocongo</v>
      </c>
      <c r="F174" s="3" t="s">
        <v>24</v>
      </c>
      <c r="G174" s="3" t="str" cm="1">
        <f t="array" aca="1" ref="G174" ca="1">INDEX(lista!$B$1:$B$6, RANDBETWEEN(1, 6))</f>
        <v>Escalera eléctrica</v>
      </c>
      <c r="H174" s="3" t="str" cm="1">
        <f t="array" aca="1" ref="H174" ca="1">INDEX(lista!$C$1:$C$4, RANDBETWEEN(1, 4))</f>
        <v>Mantenimiento preventivo</v>
      </c>
      <c r="I174" s="3" t="str">
        <f t="shared" ca="1" si="18"/>
        <v>Alta</v>
      </c>
      <c r="J174" s="3" t="str">
        <f t="shared" ca="1" si="19"/>
        <v>En curso</v>
      </c>
      <c r="K174" s="4" t="str">
        <f t="shared" ca="1" si="20"/>
        <v/>
      </c>
      <c r="L174" s="1" t="str">
        <f t="shared" ca="1" si="21"/>
        <v/>
      </c>
      <c r="M174" s="3" t="str">
        <f t="shared" ca="1" si="22"/>
        <v>Mantenimiento</v>
      </c>
    </row>
    <row r="175" spans="1:13" x14ac:dyDescent="0.3">
      <c r="A175" s="3">
        <f t="shared" si="16"/>
        <v>174</v>
      </c>
      <c r="B175" s="4">
        <f t="shared" ca="1" si="1"/>
        <v>44975</v>
      </c>
      <c r="C175" s="4" t="str">
        <f t="shared" ca="1" si="17"/>
        <v>2023-02</v>
      </c>
      <c r="D175" s="5">
        <f t="shared" ca="1" si="3"/>
        <v>0.50694444444444442</v>
      </c>
      <c r="E175" s="3" t="str" cm="1">
        <f t="array" aca="1" ref="E175" ca="1">INDEX(lista!$A$1:$A$12, RANDBETWEEN(1, 12))</f>
        <v>Ayacucho</v>
      </c>
      <c r="F175" s="3" t="s">
        <v>24</v>
      </c>
      <c r="G175" s="3" t="str" cm="1">
        <f t="array" aca="1" ref="G175" ca="1">INDEX(lista!$B$1:$B$6, RANDBETWEEN(1, 6))</f>
        <v>TVM</v>
      </c>
      <c r="H175" s="3" t="str" cm="1">
        <f t="array" aca="1" ref="H175" ca="1">INDEX(lista!$C$1:$C$4, RANDBETWEEN(1, 4))</f>
        <v>Falla mecánica</v>
      </c>
      <c r="I175" s="3" t="str">
        <f t="shared" ca="1" si="18"/>
        <v>Media</v>
      </c>
      <c r="J175" s="3" t="str">
        <f t="shared" ca="1" si="19"/>
        <v>Atendida</v>
      </c>
      <c r="K175" s="4">
        <f t="shared" ca="1" si="20"/>
        <v>44975</v>
      </c>
      <c r="L175" s="1">
        <f t="shared" ca="1" si="21"/>
        <v>18</v>
      </c>
      <c r="M175" s="3" t="str">
        <f t="shared" ca="1" si="22"/>
        <v>Telecomunicaciones</v>
      </c>
    </row>
    <row r="176" spans="1:13" x14ac:dyDescent="0.3">
      <c r="A176" s="3">
        <f t="shared" si="16"/>
        <v>175</v>
      </c>
      <c r="B176" s="4">
        <f t="shared" ca="1" si="1"/>
        <v>45262</v>
      </c>
      <c r="C176" s="4" t="str">
        <f t="shared" ca="1" si="17"/>
        <v>2023-12</v>
      </c>
      <c r="D176" s="5">
        <f t="shared" ca="1" si="3"/>
        <v>0.24861111111111112</v>
      </c>
      <c r="E176" s="3" t="str" cm="1">
        <f t="array" aca="1" ref="E176" ca="1">INDEX(lista!$A$1:$A$12, RANDBETWEEN(1, 12))</f>
        <v>San Borja Sur</v>
      </c>
      <c r="F176" s="3" t="s">
        <v>24</v>
      </c>
      <c r="G176" s="3" t="str" cm="1">
        <f t="array" aca="1" ref="G176" ca="1">INDEX(lista!$B$1:$B$6, RANDBETWEEN(1, 6))</f>
        <v>Ascensor</v>
      </c>
      <c r="H176" s="3" t="str" cm="1">
        <f t="array" aca="1" ref="H176" ca="1">INDEX(lista!$C$1:$C$4, RANDBETWEEN(1, 4))</f>
        <v>Falla mecánica</v>
      </c>
      <c r="I176" s="3" t="str">
        <f t="shared" ca="1" si="18"/>
        <v>Alta</v>
      </c>
      <c r="J176" s="3" t="str">
        <f t="shared" ca="1" si="19"/>
        <v>Atendida</v>
      </c>
      <c r="K176" s="4">
        <f t="shared" ca="1" si="20"/>
        <v>45264</v>
      </c>
      <c r="L176" s="1">
        <f t="shared" ca="1" si="21"/>
        <v>21</v>
      </c>
      <c r="M176" s="3" t="str">
        <f t="shared" ca="1" si="22"/>
        <v>Mantenimiento</v>
      </c>
    </row>
    <row r="177" spans="1:13" x14ac:dyDescent="0.3">
      <c r="A177" s="3">
        <f t="shared" si="16"/>
        <v>176</v>
      </c>
      <c r="B177" s="4">
        <f t="shared" ca="1" si="1"/>
        <v>45064</v>
      </c>
      <c r="C177" s="4" t="str">
        <f t="shared" ca="1" si="17"/>
        <v>2023-05</v>
      </c>
      <c r="D177" s="5">
        <f t="shared" ca="1" si="3"/>
        <v>0.47847222222222219</v>
      </c>
      <c r="E177" s="3" t="str" cm="1">
        <f t="array" aca="1" ref="E177" ca="1">INDEX(lista!$A$1:$A$12, RANDBETWEEN(1, 12))</f>
        <v>Gamarra</v>
      </c>
      <c r="F177" s="3" t="s">
        <v>24</v>
      </c>
      <c r="G177" s="3" t="str" cm="1">
        <f t="array" aca="1" ref="G177" ca="1">INDEX(lista!$B$1:$B$6, RANDBETWEEN(1, 6))</f>
        <v>Radio</v>
      </c>
      <c r="H177" s="3" t="str" cm="1">
        <f t="array" aca="1" ref="H177" ca="1">INDEX(lista!$C$1:$C$4, RANDBETWEEN(1, 4))</f>
        <v>Mantenimiento preventivo</v>
      </c>
      <c r="I177" s="3" t="str">
        <f t="shared" ca="1" si="18"/>
        <v>Media</v>
      </c>
      <c r="J177" s="3" t="str">
        <f t="shared" ca="1" si="19"/>
        <v>Atendida</v>
      </c>
      <c r="K177" s="4">
        <f t="shared" ca="1" si="20"/>
        <v>45066</v>
      </c>
      <c r="L177" s="1">
        <f t="shared" ca="1" si="21"/>
        <v>20</v>
      </c>
      <c r="M177" s="3" t="str">
        <f t="shared" ca="1" si="22"/>
        <v>Telecomunicaciones</v>
      </c>
    </row>
    <row r="178" spans="1:13" x14ac:dyDescent="0.3">
      <c r="A178" s="3">
        <f t="shared" si="16"/>
        <v>177</v>
      </c>
      <c r="B178" s="4">
        <f t="shared" ca="1" si="1"/>
        <v>45337</v>
      </c>
      <c r="C178" s="4" t="str">
        <f t="shared" ca="1" si="17"/>
        <v>2024-02</v>
      </c>
      <c r="D178" s="5">
        <f t="shared" ca="1" si="3"/>
        <v>0.43611111111111112</v>
      </c>
      <c r="E178" s="3" t="str" cm="1">
        <f t="array" aca="1" ref="E178" ca="1">INDEX(lista!$A$1:$A$12, RANDBETWEEN(1, 12))</f>
        <v>Ayacucho</v>
      </c>
      <c r="F178" s="3" t="s">
        <v>24</v>
      </c>
      <c r="G178" s="3" t="str" cm="1">
        <f t="array" aca="1" ref="G178" ca="1">INDEX(lista!$B$1:$B$6, RANDBETWEEN(1, 6))</f>
        <v>MET</v>
      </c>
      <c r="H178" s="3" t="str" cm="1">
        <f t="array" aca="1" ref="H178" ca="1">INDEX(lista!$C$1:$C$4, RANDBETWEEN(1, 4))</f>
        <v>Daño en infraestructura</v>
      </c>
      <c r="I178" s="3" t="str">
        <f t="shared" ca="1" si="18"/>
        <v>Alta</v>
      </c>
      <c r="J178" s="3" t="str">
        <f t="shared" ca="1" si="19"/>
        <v>Atendida</v>
      </c>
      <c r="K178" s="4">
        <f t="shared" ca="1" si="20"/>
        <v>45337</v>
      </c>
      <c r="L178" s="1">
        <f t="shared" ca="1" si="21"/>
        <v>12</v>
      </c>
      <c r="M178" s="3" t="str">
        <f t="shared" ca="1" si="22"/>
        <v>Telecomunicaciones</v>
      </c>
    </row>
    <row r="179" spans="1:13" x14ac:dyDescent="0.3">
      <c r="A179" s="3">
        <f t="shared" si="16"/>
        <v>178</v>
      </c>
      <c r="B179" s="4">
        <f t="shared" ca="1" si="1"/>
        <v>45655</v>
      </c>
      <c r="C179" s="4" t="str">
        <f t="shared" ca="1" si="17"/>
        <v>2024-12</v>
      </c>
      <c r="D179" s="5">
        <f t="shared" ca="1" si="3"/>
        <v>0.69930555555555551</v>
      </c>
      <c r="E179" s="3" t="str" cm="1">
        <f t="array" aca="1" ref="E179" ca="1">INDEX(lista!$A$1:$A$12, RANDBETWEEN(1, 12))</f>
        <v>Pumacahua</v>
      </c>
      <c r="F179" s="3" t="s">
        <v>24</v>
      </c>
      <c r="G179" s="3" t="str" cm="1">
        <f t="array" aca="1" ref="G179" ca="1">INDEX(lista!$B$1:$B$6, RANDBETWEEN(1, 6))</f>
        <v>Escalera eléctrica</v>
      </c>
      <c r="H179" s="3" t="str" cm="1">
        <f t="array" aca="1" ref="H179" ca="1">INDEX(lista!$C$1:$C$4, RANDBETWEEN(1, 4))</f>
        <v>Mantenimiento preventivo</v>
      </c>
      <c r="I179" s="3" t="str">
        <f t="shared" ca="1" si="18"/>
        <v>Alta</v>
      </c>
      <c r="J179" s="3" t="str">
        <f t="shared" ca="1" si="19"/>
        <v>Atendida</v>
      </c>
      <c r="K179" s="4">
        <f t="shared" ca="1" si="20"/>
        <v>45657</v>
      </c>
      <c r="L179" s="1">
        <f t="shared" ca="1" si="21"/>
        <v>24</v>
      </c>
      <c r="M179" s="3" t="str">
        <f t="shared" ca="1" si="22"/>
        <v>Mantenimiento</v>
      </c>
    </row>
    <row r="180" spans="1:13" x14ac:dyDescent="0.3">
      <c r="A180" s="3">
        <f t="shared" si="16"/>
        <v>179</v>
      </c>
      <c r="B180" s="4">
        <f t="shared" ca="1" si="1"/>
        <v>45391</v>
      </c>
      <c r="C180" s="4" t="str">
        <f t="shared" ca="1" si="17"/>
        <v>2024-04</v>
      </c>
      <c r="D180" s="5">
        <f t="shared" ca="1" si="3"/>
        <v>0.97430555555555554</v>
      </c>
      <c r="E180" s="3" t="str" cm="1">
        <f t="array" aca="1" ref="E180" ca="1">INDEX(lista!$A$1:$A$12, RANDBETWEEN(1, 12))</f>
        <v>Cabitos</v>
      </c>
      <c r="F180" s="3" t="s">
        <v>24</v>
      </c>
      <c r="G180" s="3" t="str" cm="1">
        <f t="array" aca="1" ref="G180" ca="1">INDEX(lista!$B$1:$B$6, RANDBETWEEN(1, 6))</f>
        <v>Escalera eléctrica</v>
      </c>
      <c r="H180" s="3" t="str" cm="1">
        <f t="array" aca="1" ref="H180" ca="1">INDEX(lista!$C$1:$C$4, RANDBETWEEN(1, 4))</f>
        <v>Daño en infraestructura</v>
      </c>
      <c r="I180" s="3" t="str">
        <f t="shared" ca="1" si="18"/>
        <v>Media</v>
      </c>
      <c r="J180" s="3" t="str">
        <f t="shared" ca="1" si="19"/>
        <v>Atendida</v>
      </c>
      <c r="K180" s="4">
        <f t="shared" ca="1" si="20"/>
        <v>45391</v>
      </c>
      <c r="L180" s="1">
        <f t="shared" ca="1" si="21"/>
        <v>12</v>
      </c>
      <c r="M180" s="3" t="str">
        <f t="shared" ca="1" si="22"/>
        <v>Mantenimiento</v>
      </c>
    </row>
    <row r="181" spans="1:13" x14ac:dyDescent="0.3">
      <c r="A181" s="3">
        <f t="shared" si="16"/>
        <v>180</v>
      </c>
      <c r="B181" s="4">
        <f t="shared" ca="1" si="1"/>
        <v>45584</v>
      </c>
      <c r="C181" s="4" t="str">
        <f t="shared" ca="1" si="17"/>
        <v>2024-10</v>
      </c>
      <c r="D181" s="5">
        <f t="shared" ca="1" si="3"/>
        <v>0.33958333333333329</v>
      </c>
      <c r="E181" s="3" t="str" cm="1">
        <f t="array" aca="1" ref="E181" ca="1">INDEX(lista!$A$1:$A$12, RANDBETWEEN(1, 12))</f>
        <v>La Cultura</v>
      </c>
      <c r="F181" s="3" t="s">
        <v>24</v>
      </c>
      <c r="G181" s="3" t="str" cm="1">
        <f t="array" aca="1" ref="G181" ca="1">INDEX(lista!$B$1:$B$6, RANDBETWEEN(1, 6))</f>
        <v>Ascensor</v>
      </c>
      <c r="H181" s="3" t="str" cm="1">
        <f t="array" aca="1" ref="H181" ca="1">INDEX(lista!$C$1:$C$4, RANDBETWEEN(1, 4))</f>
        <v>Mantenimiento preventivo</v>
      </c>
      <c r="I181" s="3" t="str">
        <f t="shared" ca="1" si="18"/>
        <v>Media</v>
      </c>
      <c r="J181" s="3" t="str">
        <f t="shared" ca="1" si="19"/>
        <v>Atendida</v>
      </c>
      <c r="K181" s="4">
        <f t="shared" ca="1" si="20"/>
        <v>45586</v>
      </c>
      <c r="L181" s="1">
        <f t="shared" ca="1" si="21"/>
        <v>3</v>
      </c>
      <c r="M181" s="3" t="str">
        <f t="shared" ca="1" si="22"/>
        <v>Mantenimiento</v>
      </c>
    </row>
    <row r="182" spans="1:13" x14ac:dyDescent="0.3">
      <c r="A182" s="3">
        <f t="shared" si="16"/>
        <v>181</v>
      </c>
      <c r="B182" s="4">
        <f t="shared" ca="1" si="1"/>
        <v>45393</v>
      </c>
      <c r="C182" s="4" t="str">
        <f t="shared" ca="1" si="17"/>
        <v>2024-04</v>
      </c>
      <c r="D182" s="5">
        <f t="shared" ca="1" si="3"/>
        <v>0.69930555555555551</v>
      </c>
      <c r="E182" s="3" t="str" cm="1">
        <f t="array" aca="1" ref="E182" ca="1">INDEX(lista!$A$1:$A$12, RANDBETWEEN(1, 12))</f>
        <v>Villa El Salvador</v>
      </c>
      <c r="F182" s="3" t="s">
        <v>24</v>
      </c>
      <c r="G182" s="3" t="str" cm="1">
        <f t="array" aca="1" ref="G182" ca="1">INDEX(lista!$B$1:$B$6, RANDBETWEEN(1, 6))</f>
        <v>Ascensor</v>
      </c>
      <c r="H182" s="3" t="str" cm="1">
        <f t="array" aca="1" ref="H182" ca="1">INDEX(lista!$C$1:$C$4, RANDBETWEEN(1, 4))</f>
        <v>Daño en infraestructura</v>
      </c>
      <c r="I182" s="3" t="str">
        <f t="shared" ca="1" si="18"/>
        <v>Media</v>
      </c>
      <c r="J182" s="3" t="str">
        <f t="shared" ca="1" si="19"/>
        <v>En curso</v>
      </c>
      <c r="K182" s="4" t="str">
        <f t="shared" ca="1" si="20"/>
        <v/>
      </c>
      <c r="L182" s="1" t="str">
        <f t="shared" ca="1" si="21"/>
        <v/>
      </c>
      <c r="M182" s="3" t="str">
        <f t="shared" ca="1" si="22"/>
        <v>Mantenimiento</v>
      </c>
    </row>
    <row r="183" spans="1:13" x14ac:dyDescent="0.3">
      <c r="A183" s="3">
        <f t="shared" si="16"/>
        <v>182</v>
      </c>
      <c r="B183" s="4">
        <f t="shared" ca="1" si="1"/>
        <v>45099</v>
      </c>
      <c r="C183" s="4" t="str">
        <f t="shared" ca="1" si="17"/>
        <v>2023-06</v>
      </c>
      <c r="D183" s="5">
        <f t="shared" ca="1" si="3"/>
        <v>0.79861111111111105</v>
      </c>
      <c r="E183" s="3" t="str" cm="1">
        <f t="array" aca="1" ref="E183" ca="1">INDEX(lista!$A$1:$A$12, RANDBETWEEN(1, 12))</f>
        <v>Ayacucho</v>
      </c>
      <c r="F183" s="3" t="s">
        <v>24</v>
      </c>
      <c r="G183" s="3" t="str" cm="1">
        <f t="array" aca="1" ref="G183" ca="1">INDEX(lista!$B$1:$B$6, RANDBETWEEN(1, 6))</f>
        <v>Escalera eléctrica</v>
      </c>
      <c r="H183" s="3" t="str" cm="1">
        <f t="array" aca="1" ref="H183" ca="1">INDEX(lista!$C$1:$C$4, RANDBETWEEN(1, 4))</f>
        <v>Falla eléctrica</v>
      </c>
      <c r="I183" s="3" t="str">
        <f t="shared" ca="1" si="18"/>
        <v>Alta</v>
      </c>
      <c r="J183" s="3" t="str">
        <f t="shared" ca="1" si="19"/>
        <v>Atendida</v>
      </c>
      <c r="K183" s="4">
        <f t="shared" ca="1" si="20"/>
        <v>45099</v>
      </c>
      <c r="L183" s="1">
        <f t="shared" ca="1" si="21"/>
        <v>2</v>
      </c>
      <c r="M183" s="3" t="str">
        <f t="shared" ca="1" si="22"/>
        <v>Mantenimiento</v>
      </c>
    </row>
    <row r="184" spans="1:13" x14ac:dyDescent="0.3">
      <c r="A184" s="3">
        <f t="shared" si="16"/>
        <v>183</v>
      </c>
      <c r="B184" s="4">
        <f t="shared" ca="1" si="1"/>
        <v>45628</v>
      </c>
      <c r="C184" s="4" t="str">
        <f t="shared" ca="1" si="17"/>
        <v>2024-12</v>
      </c>
      <c r="D184" s="5">
        <f t="shared" ca="1" si="3"/>
        <v>0.39027777777777778</v>
      </c>
      <c r="E184" s="3" t="str" cm="1">
        <f t="array" aca="1" ref="E184" ca="1">INDEX(lista!$A$1:$A$12, RANDBETWEEN(1, 12))</f>
        <v>Pumacahua</v>
      </c>
      <c r="F184" s="3" t="s">
        <v>24</v>
      </c>
      <c r="G184" s="3" t="str" cm="1">
        <f t="array" aca="1" ref="G184" ca="1">INDEX(lista!$B$1:$B$6, RANDBETWEEN(1, 6))</f>
        <v>Escalera eléctrica</v>
      </c>
      <c r="H184" s="3" t="str" cm="1">
        <f t="array" aca="1" ref="H184" ca="1">INDEX(lista!$C$1:$C$4, RANDBETWEEN(1, 4))</f>
        <v>Falla eléctrica</v>
      </c>
      <c r="I184" s="3" t="str">
        <f t="shared" ca="1" si="18"/>
        <v>Media</v>
      </c>
      <c r="J184" s="3" t="str">
        <f t="shared" ca="1" si="19"/>
        <v>Pendiente</v>
      </c>
      <c r="K184" s="4" t="str">
        <f t="shared" ca="1" si="20"/>
        <v/>
      </c>
      <c r="L184" s="1" t="str">
        <f t="shared" ca="1" si="21"/>
        <v/>
      </c>
      <c r="M184" s="3" t="str">
        <f t="shared" ca="1" si="22"/>
        <v>Mantenimiento</v>
      </c>
    </row>
    <row r="185" spans="1:13" x14ac:dyDescent="0.3">
      <c r="A185" s="3">
        <f t="shared" si="16"/>
        <v>184</v>
      </c>
      <c r="B185" s="4">
        <f t="shared" ca="1" si="1"/>
        <v>45126</v>
      </c>
      <c r="C185" s="4" t="str">
        <f t="shared" ca="1" si="17"/>
        <v>2023-07</v>
      </c>
      <c r="D185" s="5">
        <f t="shared" ca="1" si="3"/>
        <v>0.34722222222222221</v>
      </c>
      <c r="E185" s="3" t="str" cm="1">
        <f t="array" aca="1" ref="E185" ca="1">INDEX(lista!$A$1:$A$12, RANDBETWEEN(1, 12))</f>
        <v>La Cultura</v>
      </c>
      <c r="F185" s="3" t="s">
        <v>24</v>
      </c>
      <c r="G185" s="3" t="str" cm="1">
        <f t="array" aca="1" ref="G185" ca="1">INDEX(lista!$B$1:$B$6, RANDBETWEEN(1, 6))</f>
        <v>TVM</v>
      </c>
      <c r="H185" s="3" t="str" cm="1">
        <f t="array" aca="1" ref="H185" ca="1">INDEX(lista!$C$1:$C$4, RANDBETWEEN(1, 4))</f>
        <v>Mantenimiento preventivo</v>
      </c>
      <c r="I185" s="3" t="str">
        <f t="shared" ca="1" si="18"/>
        <v>Media</v>
      </c>
      <c r="J185" s="3" t="str">
        <f t="shared" ca="1" si="19"/>
        <v>En curso</v>
      </c>
      <c r="K185" s="4" t="str">
        <f t="shared" ca="1" si="20"/>
        <v/>
      </c>
      <c r="L185" s="1" t="str">
        <f t="shared" ca="1" si="21"/>
        <v/>
      </c>
      <c r="M185" s="3" t="str">
        <f t="shared" ca="1" si="22"/>
        <v>Telecomunicaciones</v>
      </c>
    </row>
    <row r="186" spans="1:13" x14ac:dyDescent="0.3">
      <c r="A186" s="3">
        <f t="shared" si="16"/>
        <v>185</v>
      </c>
      <c r="B186" s="4">
        <f t="shared" ca="1" si="1"/>
        <v>45082</v>
      </c>
      <c r="C186" s="4" t="str">
        <f t="shared" ca="1" si="17"/>
        <v>2023-06</v>
      </c>
      <c r="D186" s="5">
        <f t="shared" ca="1" si="3"/>
        <v>0.87708333333333333</v>
      </c>
      <c r="E186" s="3" t="str" cm="1">
        <f t="array" aca="1" ref="E186" ca="1">INDEX(lista!$A$1:$A$12, RANDBETWEEN(1, 12))</f>
        <v>Gamarra</v>
      </c>
      <c r="F186" s="3" t="s">
        <v>24</v>
      </c>
      <c r="G186" s="3" t="str" cm="1">
        <f t="array" aca="1" ref="G186" ca="1">INDEX(lista!$B$1:$B$6, RANDBETWEEN(1, 6))</f>
        <v>TVM</v>
      </c>
      <c r="H186" s="3" t="str" cm="1">
        <f t="array" aca="1" ref="H186" ca="1">INDEX(lista!$C$1:$C$4, RANDBETWEEN(1, 4))</f>
        <v>Falla mecánica</v>
      </c>
      <c r="I186" s="3" t="str">
        <f t="shared" ca="1" si="18"/>
        <v>Baja</v>
      </c>
      <c r="J186" s="3" t="str">
        <f t="shared" ca="1" si="19"/>
        <v>Atendida</v>
      </c>
      <c r="K186" s="4">
        <f t="shared" ca="1" si="20"/>
        <v>45083</v>
      </c>
      <c r="L186" s="1">
        <f t="shared" ca="1" si="21"/>
        <v>18</v>
      </c>
      <c r="M186" s="3" t="str">
        <f t="shared" ca="1" si="22"/>
        <v>Telecomunicaciones</v>
      </c>
    </row>
    <row r="187" spans="1:13" x14ac:dyDescent="0.3">
      <c r="A187" s="3">
        <f t="shared" si="16"/>
        <v>186</v>
      </c>
      <c r="B187" s="4">
        <f t="shared" ca="1" si="1"/>
        <v>45381</v>
      </c>
      <c r="C187" s="4" t="str">
        <f t="shared" ca="1" si="17"/>
        <v>2024-03</v>
      </c>
      <c r="D187" s="5">
        <f t="shared" ca="1" si="3"/>
        <v>0.43333333333333335</v>
      </c>
      <c r="E187" s="3" t="str" cm="1">
        <f t="array" aca="1" ref="E187" ca="1">INDEX(lista!$A$1:$A$12, RANDBETWEEN(1, 12))</f>
        <v>Villa El Salvador</v>
      </c>
      <c r="F187" s="3" t="s">
        <v>24</v>
      </c>
      <c r="G187" s="3" t="str" cm="1">
        <f t="array" aca="1" ref="G187" ca="1">INDEX(lista!$B$1:$B$6, RANDBETWEEN(1, 6))</f>
        <v>Ascensor</v>
      </c>
      <c r="H187" s="3" t="str" cm="1">
        <f t="array" aca="1" ref="H187" ca="1">INDEX(lista!$C$1:$C$4, RANDBETWEEN(1, 4))</f>
        <v>Mantenimiento preventivo</v>
      </c>
      <c r="I187" s="3" t="str">
        <f t="shared" ca="1" si="18"/>
        <v>Alta</v>
      </c>
      <c r="J187" s="3" t="str">
        <f t="shared" ca="1" si="19"/>
        <v>Atendida</v>
      </c>
      <c r="K187" s="4">
        <f t="shared" ca="1" si="20"/>
        <v>45383</v>
      </c>
      <c r="L187" s="1">
        <f t="shared" ca="1" si="21"/>
        <v>3</v>
      </c>
      <c r="M187" s="3" t="str">
        <f t="shared" ca="1" si="22"/>
        <v>Mantenimiento</v>
      </c>
    </row>
    <row r="188" spans="1:13" x14ac:dyDescent="0.3">
      <c r="A188" s="3">
        <f t="shared" si="16"/>
        <v>187</v>
      </c>
      <c r="B188" s="4">
        <f t="shared" ca="1" si="1"/>
        <v>45531</v>
      </c>
      <c r="C188" s="4" t="str">
        <f t="shared" ca="1" si="17"/>
        <v>2024-08</v>
      </c>
      <c r="D188" s="5">
        <f t="shared" ca="1" si="3"/>
        <v>0.3888888888888889</v>
      </c>
      <c r="E188" s="3" t="str" cm="1">
        <f t="array" aca="1" ref="E188" ca="1">INDEX(lista!$A$1:$A$12, RANDBETWEEN(1, 12))</f>
        <v>La Cultura</v>
      </c>
      <c r="F188" s="3" t="s">
        <v>24</v>
      </c>
      <c r="G188" s="3" t="str" cm="1">
        <f t="array" aca="1" ref="G188" ca="1">INDEX(lista!$B$1:$B$6, RANDBETWEEN(1, 6))</f>
        <v>Escalera eléctrica</v>
      </c>
      <c r="H188" s="3" t="str" cm="1">
        <f t="array" aca="1" ref="H188" ca="1">INDEX(lista!$C$1:$C$4, RANDBETWEEN(1, 4))</f>
        <v>Mantenimiento preventivo</v>
      </c>
      <c r="I188" s="3" t="str">
        <f t="shared" ca="1" si="18"/>
        <v>Alta</v>
      </c>
      <c r="J188" s="3" t="str">
        <f t="shared" ca="1" si="19"/>
        <v>Atendida</v>
      </c>
      <c r="K188" s="4">
        <f t="shared" ca="1" si="20"/>
        <v>45531</v>
      </c>
      <c r="L188" s="1">
        <f t="shared" ca="1" si="21"/>
        <v>17</v>
      </c>
      <c r="M188" s="3" t="str">
        <f t="shared" ca="1" si="22"/>
        <v>Mantenimiento</v>
      </c>
    </row>
    <row r="189" spans="1:13" x14ac:dyDescent="0.3">
      <c r="A189" s="3">
        <f t="shared" si="16"/>
        <v>188</v>
      </c>
      <c r="B189" s="4">
        <f t="shared" ca="1" si="1"/>
        <v>45478</v>
      </c>
      <c r="C189" s="4" t="str">
        <f t="shared" ca="1" si="17"/>
        <v>2024-07</v>
      </c>
      <c r="D189" s="5">
        <f t="shared" ca="1" si="3"/>
        <v>0.40763888888888888</v>
      </c>
      <c r="E189" s="3" t="str" cm="1">
        <f t="array" aca="1" ref="E189" ca="1">INDEX(lista!$A$1:$A$12, RANDBETWEEN(1, 12))</f>
        <v>Gamarra</v>
      </c>
      <c r="F189" s="3" t="s">
        <v>24</v>
      </c>
      <c r="G189" s="3" t="str" cm="1">
        <f t="array" aca="1" ref="G189" ca="1">INDEX(lista!$B$1:$B$6, RANDBETWEEN(1, 6))</f>
        <v>Torniquete</v>
      </c>
      <c r="H189" s="3" t="str" cm="1">
        <f t="array" aca="1" ref="H189" ca="1">INDEX(lista!$C$1:$C$4, RANDBETWEEN(1, 4))</f>
        <v>Daño en infraestructura</v>
      </c>
      <c r="I189" s="3" t="str">
        <f t="shared" ca="1" si="18"/>
        <v>Alta</v>
      </c>
      <c r="J189" s="3" t="str">
        <f t="shared" ca="1" si="19"/>
        <v>Atendida</v>
      </c>
      <c r="K189" s="4">
        <f t="shared" ca="1" si="20"/>
        <v>45478</v>
      </c>
      <c r="L189" s="1">
        <f t="shared" ca="1" si="21"/>
        <v>19</v>
      </c>
      <c r="M189" s="3" t="str">
        <f t="shared" ca="1" si="22"/>
        <v>Telecomunicaciones</v>
      </c>
    </row>
    <row r="190" spans="1:13" x14ac:dyDescent="0.3">
      <c r="A190" s="3">
        <f t="shared" si="16"/>
        <v>189</v>
      </c>
      <c r="B190" s="4">
        <f t="shared" ca="1" si="1"/>
        <v>44928</v>
      </c>
      <c r="C190" s="4" t="str">
        <f t="shared" ca="1" si="17"/>
        <v>2023-01</v>
      </c>
      <c r="D190" s="5">
        <f t="shared" ca="1" si="3"/>
        <v>0.11874999999999999</v>
      </c>
      <c r="E190" s="3" t="str" cm="1">
        <f t="array" aca="1" ref="E190" ca="1">INDEX(lista!$A$1:$A$12, RANDBETWEEN(1, 12))</f>
        <v>San Borja Sur</v>
      </c>
      <c r="F190" s="3" t="s">
        <v>24</v>
      </c>
      <c r="G190" s="3" t="str" cm="1">
        <f t="array" aca="1" ref="G190" ca="1">INDEX(lista!$B$1:$B$6, RANDBETWEEN(1, 6))</f>
        <v>MET</v>
      </c>
      <c r="H190" s="3" t="str" cm="1">
        <f t="array" aca="1" ref="H190" ca="1">INDEX(lista!$C$1:$C$4, RANDBETWEEN(1, 4))</f>
        <v>Daño en infraestructura</v>
      </c>
      <c r="I190" s="3" t="str">
        <f t="shared" ca="1" si="18"/>
        <v>Baja</v>
      </c>
      <c r="J190" s="3" t="str">
        <f t="shared" ca="1" si="19"/>
        <v>En curso</v>
      </c>
      <c r="K190" s="4" t="str">
        <f t="shared" ca="1" si="20"/>
        <v/>
      </c>
      <c r="L190" s="1" t="str">
        <f t="shared" ca="1" si="21"/>
        <v/>
      </c>
      <c r="M190" s="3" t="str">
        <f t="shared" ca="1" si="22"/>
        <v>Telecomunicaciones</v>
      </c>
    </row>
    <row r="191" spans="1:13" x14ac:dyDescent="0.3">
      <c r="A191" s="3">
        <f t="shared" si="16"/>
        <v>190</v>
      </c>
      <c r="B191" s="4">
        <f t="shared" ca="1" si="1"/>
        <v>45339</v>
      </c>
      <c r="C191" s="4" t="str">
        <f t="shared" ca="1" si="17"/>
        <v>2024-02</v>
      </c>
      <c r="D191" s="5">
        <f t="shared" ca="1" si="3"/>
        <v>0.70208333333333328</v>
      </c>
      <c r="E191" s="3" t="str" cm="1">
        <f t="array" aca="1" ref="E191" ca="1">INDEX(lista!$A$1:$A$12, RANDBETWEEN(1, 12))</f>
        <v>Santa Rosa</v>
      </c>
      <c r="F191" s="3" t="s">
        <v>24</v>
      </c>
      <c r="G191" s="3" t="str" cm="1">
        <f t="array" aca="1" ref="G191" ca="1">INDEX(lista!$B$1:$B$6, RANDBETWEEN(1, 6))</f>
        <v>TVM</v>
      </c>
      <c r="H191" s="3" t="str" cm="1">
        <f t="array" aca="1" ref="H191" ca="1">INDEX(lista!$C$1:$C$4, RANDBETWEEN(1, 4))</f>
        <v>Daño en infraestructura</v>
      </c>
      <c r="I191" s="3" t="str">
        <f t="shared" ca="1" si="18"/>
        <v>Alta</v>
      </c>
      <c r="J191" s="3" t="str">
        <f t="shared" ca="1" si="19"/>
        <v>Pendiente</v>
      </c>
      <c r="K191" s="4" t="str">
        <f t="shared" ca="1" si="20"/>
        <v/>
      </c>
      <c r="L191" s="1" t="str">
        <f t="shared" ca="1" si="21"/>
        <v/>
      </c>
      <c r="M191" s="3" t="str">
        <f t="shared" ca="1" si="22"/>
        <v>Telecomunicaciones</v>
      </c>
    </row>
    <row r="192" spans="1:13" x14ac:dyDescent="0.3">
      <c r="A192" s="3">
        <f t="shared" si="16"/>
        <v>191</v>
      </c>
      <c r="B192" s="4">
        <f t="shared" ca="1" si="1"/>
        <v>45026</v>
      </c>
      <c r="C192" s="4" t="str">
        <f t="shared" ca="1" si="17"/>
        <v>2023-04</v>
      </c>
      <c r="D192" s="5">
        <f t="shared" ca="1" si="3"/>
        <v>0.77638888888888891</v>
      </c>
      <c r="E192" s="3" t="str" cm="1">
        <f t="array" aca="1" ref="E192" ca="1">INDEX(lista!$A$1:$A$12, RANDBETWEEN(1, 12))</f>
        <v>San Borja Sur</v>
      </c>
      <c r="F192" s="3" t="s">
        <v>24</v>
      </c>
      <c r="G192" s="3" t="str" cm="1">
        <f t="array" aca="1" ref="G192" ca="1">INDEX(lista!$B$1:$B$6, RANDBETWEEN(1, 6))</f>
        <v>TVM</v>
      </c>
      <c r="H192" s="3" t="str" cm="1">
        <f t="array" aca="1" ref="H192" ca="1">INDEX(lista!$C$1:$C$4, RANDBETWEEN(1, 4))</f>
        <v>Mantenimiento preventivo</v>
      </c>
      <c r="I192" s="3" t="str">
        <f t="shared" ca="1" si="18"/>
        <v>Alta</v>
      </c>
      <c r="J192" s="3" t="str">
        <f t="shared" ca="1" si="19"/>
        <v>Atendida</v>
      </c>
      <c r="K192" s="4">
        <f t="shared" ca="1" si="20"/>
        <v>45028</v>
      </c>
      <c r="L192" s="1">
        <f t="shared" ca="1" si="21"/>
        <v>10</v>
      </c>
      <c r="M192" s="3" t="str">
        <f t="shared" ca="1" si="22"/>
        <v>Telecomunicaciones</v>
      </c>
    </row>
    <row r="193" spans="1:13" x14ac:dyDescent="0.3">
      <c r="A193" s="3">
        <f t="shared" si="16"/>
        <v>192</v>
      </c>
      <c r="B193" s="4">
        <f t="shared" ca="1" si="1"/>
        <v>45008</v>
      </c>
      <c r="C193" s="4" t="str">
        <f t="shared" ca="1" si="17"/>
        <v>2023-03</v>
      </c>
      <c r="D193" s="5">
        <f t="shared" ca="1" si="3"/>
        <v>6.041666666666666E-2</v>
      </c>
      <c r="E193" s="3" t="str" cm="1">
        <f t="array" aca="1" ref="E193" ca="1">INDEX(lista!$A$1:$A$12, RANDBETWEEN(1, 12))</f>
        <v>Gamarra</v>
      </c>
      <c r="F193" s="3" t="s">
        <v>24</v>
      </c>
      <c r="G193" s="3" t="str" cm="1">
        <f t="array" aca="1" ref="G193" ca="1">INDEX(lista!$B$1:$B$6, RANDBETWEEN(1, 6))</f>
        <v>TVM</v>
      </c>
      <c r="H193" s="3" t="str" cm="1">
        <f t="array" aca="1" ref="H193" ca="1">INDEX(lista!$C$1:$C$4, RANDBETWEEN(1, 4))</f>
        <v>Mantenimiento preventivo</v>
      </c>
      <c r="I193" s="3" t="str">
        <f t="shared" ca="1" si="18"/>
        <v>Alta</v>
      </c>
      <c r="J193" s="3" t="str">
        <f t="shared" ca="1" si="19"/>
        <v>Pendiente</v>
      </c>
      <c r="K193" s="4" t="str">
        <f t="shared" ca="1" si="20"/>
        <v/>
      </c>
      <c r="L193" s="1" t="str">
        <f t="shared" ca="1" si="21"/>
        <v/>
      </c>
      <c r="M193" s="3" t="str">
        <f t="shared" ca="1" si="22"/>
        <v>Telecomunicaciones</v>
      </c>
    </row>
    <row r="194" spans="1:13" x14ac:dyDescent="0.3">
      <c r="A194" s="3">
        <f t="shared" si="16"/>
        <v>193</v>
      </c>
      <c r="B194" s="4">
        <f t="shared" ca="1" si="1"/>
        <v>45566</v>
      </c>
      <c r="C194" s="4" t="str">
        <f t="shared" ca="1" si="17"/>
        <v>2024-10</v>
      </c>
      <c r="D194" s="5">
        <f t="shared" ca="1" si="3"/>
        <v>0.94027777777777777</v>
      </c>
      <c r="E194" s="3" t="str" cm="1">
        <f t="array" aca="1" ref="E194" ca="1">INDEX(lista!$A$1:$A$12, RANDBETWEEN(1, 12))</f>
        <v>San Carlos</v>
      </c>
      <c r="F194" s="3" t="s">
        <v>24</v>
      </c>
      <c r="G194" s="3" t="str" cm="1">
        <f t="array" aca="1" ref="G194" ca="1">INDEX(lista!$B$1:$B$6, RANDBETWEEN(1, 6))</f>
        <v>TVM</v>
      </c>
      <c r="H194" s="3" t="str" cm="1">
        <f t="array" aca="1" ref="H194" ca="1">INDEX(lista!$C$1:$C$4, RANDBETWEEN(1, 4))</f>
        <v>Falla eléctrica</v>
      </c>
      <c r="I194" s="3" t="str">
        <f t="shared" ca="1" si="18"/>
        <v>Media</v>
      </c>
      <c r="J194" s="3" t="str">
        <f t="shared" ca="1" si="19"/>
        <v>En curso</v>
      </c>
      <c r="K194" s="4" t="str">
        <f t="shared" ca="1" si="20"/>
        <v/>
      </c>
      <c r="L194" s="1" t="str">
        <f t="shared" ca="1" si="21"/>
        <v/>
      </c>
      <c r="M194" s="3" t="str">
        <f t="shared" ca="1" si="22"/>
        <v>Telecomunicaciones</v>
      </c>
    </row>
    <row r="195" spans="1:13" x14ac:dyDescent="0.3">
      <c r="A195" s="3">
        <f t="shared" ref="A195:A258" si="23">ROW()-1</f>
        <v>194</v>
      </c>
      <c r="B195" s="4">
        <f t="shared" ca="1" si="1"/>
        <v>45530</v>
      </c>
      <c r="C195" s="4" t="str">
        <f t="shared" ref="C195:C258" ca="1" si="24">TEXT(B195,"yyyy-mm")</f>
        <v>2024-08</v>
      </c>
      <c r="D195" s="5">
        <f t="shared" ca="1" si="3"/>
        <v>0.83958333333333335</v>
      </c>
      <c r="E195" s="3" t="str" cm="1">
        <f t="array" aca="1" ref="E195" ca="1">INDEX(lista!$A$1:$A$12, RANDBETWEEN(1, 12))</f>
        <v>Ayacucho</v>
      </c>
      <c r="F195" s="3" t="s">
        <v>24</v>
      </c>
      <c r="G195" s="3" t="str" cm="1">
        <f t="array" aca="1" ref="G195" ca="1">INDEX(lista!$B$1:$B$6, RANDBETWEEN(1, 6))</f>
        <v>Escalera eléctrica</v>
      </c>
      <c r="H195" s="3" t="str" cm="1">
        <f t="array" aca="1" ref="H195" ca="1">INDEX(lista!$C$1:$C$4, RANDBETWEEN(1, 4))</f>
        <v>Falla eléctrica</v>
      </c>
      <c r="I195" s="3" t="str">
        <f t="shared" ref="I195:I258" ca="1" si="25">CHOOSE(RANDBETWEEN(1,10),"Baja","Baja","Baja","Media","Media","Media","Media","Alta","Alta","Alta")</f>
        <v>Alta</v>
      </c>
      <c r="J195" s="3" t="str">
        <f t="shared" ref="J195:J258" ca="1" si="26">CHOOSE(RANDBETWEEN(1,10),"Atendida","Atendida","Atendida","En curso","En curso","Pendiente","Pendiente","Atendida","Atendida","Atendida")</f>
        <v>Pendiente</v>
      </c>
      <c r="K195" s="4" t="str">
        <f t="shared" ref="K195:K258" ca="1" si="27">IF(J195="Atendida",B195+RANDBETWEEN(0,2),"")</f>
        <v/>
      </c>
      <c r="L195" s="1" t="str">
        <f t="shared" ref="L195:L258" ca="1" si="28">IF(J195="Atendida",RANDBETWEEN(1,24),"")</f>
        <v/>
      </c>
      <c r="M195" s="3" t="str">
        <f t="shared" ref="M195:M258" ca="1" si="29">IF(OR(G195="Escalera eléctrica",G195="Ascensor",G195="Puertas de andén"),"Mantenimiento",IF(G195="Sistema eléctrico","Infraestructura","Telecomunicaciones"))</f>
        <v>Mantenimiento</v>
      </c>
    </row>
    <row r="196" spans="1:13" x14ac:dyDescent="0.3">
      <c r="A196" s="3">
        <f t="shared" si="23"/>
        <v>195</v>
      </c>
      <c r="B196" s="4">
        <f t="shared" ca="1" si="1"/>
        <v>44947</v>
      </c>
      <c r="C196" s="4" t="str">
        <f t="shared" ca="1" si="24"/>
        <v>2023-01</v>
      </c>
      <c r="D196" s="5">
        <f t="shared" ca="1" si="3"/>
        <v>0.92430555555555549</v>
      </c>
      <c r="E196" s="3" t="str" cm="1">
        <f t="array" aca="1" ref="E196" ca="1">INDEX(lista!$A$1:$A$12, RANDBETWEEN(1, 12))</f>
        <v>Villa El Salvador</v>
      </c>
      <c r="F196" s="3" t="s">
        <v>24</v>
      </c>
      <c r="G196" s="3" t="str" cm="1">
        <f t="array" aca="1" ref="G196" ca="1">INDEX(lista!$B$1:$B$6, RANDBETWEEN(1, 6))</f>
        <v>TVM</v>
      </c>
      <c r="H196" s="3" t="str" cm="1">
        <f t="array" aca="1" ref="H196" ca="1">INDEX(lista!$C$1:$C$4, RANDBETWEEN(1, 4))</f>
        <v>Falla eléctrica</v>
      </c>
      <c r="I196" s="3" t="str">
        <f t="shared" ca="1" si="25"/>
        <v>Media</v>
      </c>
      <c r="J196" s="3" t="str">
        <f t="shared" ca="1" si="26"/>
        <v>Atendida</v>
      </c>
      <c r="K196" s="4">
        <f t="shared" ca="1" si="27"/>
        <v>44949</v>
      </c>
      <c r="L196" s="1">
        <f t="shared" ca="1" si="28"/>
        <v>22</v>
      </c>
      <c r="M196" s="3" t="str">
        <f t="shared" ca="1" si="29"/>
        <v>Telecomunicaciones</v>
      </c>
    </row>
    <row r="197" spans="1:13" x14ac:dyDescent="0.3">
      <c r="A197" s="3">
        <f t="shared" si="23"/>
        <v>196</v>
      </c>
      <c r="B197" s="4">
        <f t="shared" ca="1" si="1"/>
        <v>45507</v>
      </c>
      <c r="C197" s="4" t="str">
        <f t="shared" ca="1" si="24"/>
        <v>2024-08</v>
      </c>
      <c r="D197" s="5">
        <f t="shared" ca="1" si="3"/>
        <v>0.2638888888888889</v>
      </c>
      <c r="E197" s="3" t="str" cm="1">
        <f t="array" aca="1" ref="E197" ca="1">INDEX(lista!$A$1:$A$12, RANDBETWEEN(1, 12))</f>
        <v>Ayacucho</v>
      </c>
      <c r="F197" s="3" t="s">
        <v>24</v>
      </c>
      <c r="G197" s="3" t="str" cm="1">
        <f t="array" aca="1" ref="G197" ca="1">INDEX(lista!$B$1:$B$6, RANDBETWEEN(1, 6))</f>
        <v>Ascensor</v>
      </c>
      <c r="H197" s="3" t="str" cm="1">
        <f t="array" aca="1" ref="H197" ca="1">INDEX(lista!$C$1:$C$4, RANDBETWEEN(1, 4))</f>
        <v>Falla mecánica</v>
      </c>
      <c r="I197" s="3" t="str">
        <f t="shared" ca="1" si="25"/>
        <v>Media</v>
      </c>
      <c r="J197" s="3" t="str">
        <f t="shared" ca="1" si="26"/>
        <v>En curso</v>
      </c>
      <c r="K197" s="4" t="str">
        <f t="shared" ca="1" si="27"/>
        <v/>
      </c>
      <c r="L197" s="1" t="str">
        <f t="shared" ca="1" si="28"/>
        <v/>
      </c>
      <c r="M197" s="3" t="str">
        <f t="shared" ca="1" si="29"/>
        <v>Mantenimiento</v>
      </c>
    </row>
    <row r="198" spans="1:13" x14ac:dyDescent="0.3">
      <c r="A198" s="3">
        <f t="shared" si="23"/>
        <v>197</v>
      </c>
      <c r="B198" s="4">
        <f t="shared" ca="1" si="1"/>
        <v>45643</v>
      </c>
      <c r="C198" s="4" t="str">
        <f t="shared" ca="1" si="24"/>
        <v>2024-12</v>
      </c>
      <c r="D198" s="5">
        <f t="shared" ca="1" si="3"/>
        <v>0.62916666666666665</v>
      </c>
      <c r="E198" s="3" t="str" cm="1">
        <f t="array" aca="1" ref="E198" ca="1">INDEX(lista!$A$1:$A$12, RANDBETWEEN(1, 12))</f>
        <v>Ayacucho</v>
      </c>
      <c r="F198" s="3" t="s">
        <v>24</v>
      </c>
      <c r="G198" s="3" t="str" cm="1">
        <f t="array" aca="1" ref="G198" ca="1">INDEX(lista!$B$1:$B$6, RANDBETWEEN(1, 6))</f>
        <v>Radio</v>
      </c>
      <c r="H198" s="3" t="str" cm="1">
        <f t="array" aca="1" ref="H198" ca="1">INDEX(lista!$C$1:$C$4, RANDBETWEEN(1, 4))</f>
        <v>Falla eléctrica</v>
      </c>
      <c r="I198" s="3" t="str">
        <f t="shared" ca="1" si="25"/>
        <v>Media</v>
      </c>
      <c r="J198" s="3" t="str">
        <f t="shared" ca="1" si="26"/>
        <v>Atendida</v>
      </c>
      <c r="K198" s="4">
        <f t="shared" ca="1" si="27"/>
        <v>45644</v>
      </c>
      <c r="L198" s="1">
        <f t="shared" ca="1" si="28"/>
        <v>12</v>
      </c>
      <c r="M198" s="3" t="str">
        <f t="shared" ca="1" si="29"/>
        <v>Telecomunicaciones</v>
      </c>
    </row>
    <row r="199" spans="1:13" x14ac:dyDescent="0.3">
      <c r="A199" s="3">
        <f t="shared" si="23"/>
        <v>198</v>
      </c>
      <c r="B199" s="4">
        <f t="shared" ca="1" si="1"/>
        <v>45247</v>
      </c>
      <c r="C199" s="4" t="str">
        <f t="shared" ca="1" si="24"/>
        <v>2023-11</v>
      </c>
      <c r="D199" s="5">
        <f t="shared" ca="1" si="3"/>
        <v>0.16250000000000001</v>
      </c>
      <c r="E199" s="3" t="str" cm="1">
        <f t="array" aca="1" ref="E199" ca="1">INDEX(lista!$A$1:$A$12, RANDBETWEEN(1, 12))</f>
        <v>La Cultura</v>
      </c>
      <c r="F199" s="3" t="s">
        <v>24</v>
      </c>
      <c r="G199" s="3" t="str" cm="1">
        <f t="array" aca="1" ref="G199" ca="1">INDEX(lista!$B$1:$B$6, RANDBETWEEN(1, 6))</f>
        <v>TVM</v>
      </c>
      <c r="H199" s="3" t="str" cm="1">
        <f t="array" aca="1" ref="H199" ca="1">INDEX(lista!$C$1:$C$4, RANDBETWEEN(1, 4))</f>
        <v>Falla mecánica</v>
      </c>
      <c r="I199" s="3" t="str">
        <f t="shared" ca="1" si="25"/>
        <v>Media</v>
      </c>
      <c r="J199" s="3" t="str">
        <f t="shared" ca="1" si="26"/>
        <v>Atendida</v>
      </c>
      <c r="K199" s="4">
        <f t="shared" ca="1" si="27"/>
        <v>45248</v>
      </c>
      <c r="L199" s="1">
        <f t="shared" ca="1" si="28"/>
        <v>16</v>
      </c>
      <c r="M199" s="3" t="str">
        <f t="shared" ca="1" si="29"/>
        <v>Telecomunicaciones</v>
      </c>
    </row>
    <row r="200" spans="1:13" x14ac:dyDescent="0.3">
      <c r="A200" s="3">
        <f t="shared" si="23"/>
        <v>199</v>
      </c>
      <c r="B200" s="4">
        <f t="shared" ca="1" si="1"/>
        <v>45069</v>
      </c>
      <c r="C200" s="4" t="str">
        <f t="shared" ca="1" si="24"/>
        <v>2023-05</v>
      </c>
      <c r="D200" s="5">
        <f t="shared" ca="1" si="3"/>
        <v>0.32013888888888892</v>
      </c>
      <c r="E200" s="3" t="str" cm="1">
        <f t="array" aca="1" ref="E200" ca="1">INDEX(lista!$A$1:$A$12, RANDBETWEEN(1, 12))</f>
        <v>San Carlos</v>
      </c>
      <c r="F200" s="3" t="s">
        <v>24</v>
      </c>
      <c r="G200" s="3" t="str" cm="1">
        <f t="array" aca="1" ref="G200" ca="1">INDEX(lista!$B$1:$B$6, RANDBETWEEN(1, 6))</f>
        <v>MET</v>
      </c>
      <c r="H200" s="3" t="str" cm="1">
        <f t="array" aca="1" ref="H200" ca="1">INDEX(lista!$C$1:$C$4, RANDBETWEEN(1, 4))</f>
        <v>Falla eléctrica</v>
      </c>
      <c r="I200" s="3" t="str">
        <f t="shared" ca="1" si="25"/>
        <v>Baja</v>
      </c>
      <c r="J200" s="3" t="str">
        <f t="shared" ca="1" si="26"/>
        <v>Pendiente</v>
      </c>
      <c r="K200" s="4" t="str">
        <f t="shared" ca="1" si="27"/>
        <v/>
      </c>
      <c r="L200" s="1" t="str">
        <f t="shared" ca="1" si="28"/>
        <v/>
      </c>
      <c r="M200" s="3" t="str">
        <f t="shared" ca="1" si="29"/>
        <v>Telecomunicaciones</v>
      </c>
    </row>
    <row r="201" spans="1:13" x14ac:dyDescent="0.3">
      <c r="A201" s="3">
        <f t="shared" si="23"/>
        <v>200</v>
      </c>
      <c r="B201" s="4">
        <f t="shared" ca="1" si="1"/>
        <v>44981</v>
      </c>
      <c r="C201" s="4" t="str">
        <f t="shared" ca="1" si="24"/>
        <v>2023-02</v>
      </c>
      <c r="D201" s="5">
        <f t="shared" ca="1" si="3"/>
        <v>9.4444444444444442E-2</v>
      </c>
      <c r="E201" s="3" t="str" cm="1">
        <f t="array" aca="1" ref="E201" ca="1">INDEX(lista!$A$1:$A$12, RANDBETWEEN(1, 12))</f>
        <v>Villa El Salvador</v>
      </c>
      <c r="F201" s="3" t="s">
        <v>24</v>
      </c>
      <c r="G201" s="3" t="str" cm="1">
        <f t="array" aca="1" ref="G201" ca="1">INDEX(lista!$B$1:$B$6, RANDBETWEEN(1, 6))</f>
        <v>Radio</v>
      </c>
      <c r="H201" s="3" t="str" cm="1">
        <f t="array" aca="1" ref="H201" ca="1">INDEX(lista!$C$1:$C$4, RANDBETWEEN(1, 4))</f>
        <v>Falla mecánica</v>
      </c>
      <c r="I201" s="3" t="str">
        <f t="shared" ca="1" si="25"/>
        <v>Media</v>
      </c>
      <c r="J201" s="3" t="str">
        <f t="shared" ca="1" si="26"/>
        <v>En curso</v>
      </c>
      <c r="K201" s="4" t="str">
        <f t="shared" ca="1" si="27"/>
        <v/>
      </c>
      <c r="L201" s="1" t="str">
        <f t="shared" ca="1" si="28"/>
        <v/>
      </c>
      <c r="M201" s="3" t="str">
        <f t="shared" ca="1" si="29"/>
        <v>Telecomunicaciones</v>
      </c>
    </row>
    <row r="202" spans="1:13" x14ac:dyDescent="0.3">
      <c r="A202" s="3">
        <f t="shared" si="23"/>
        <v>201</v>
      </c>
      <c r="B202" s="4">
        <f t="shared" ca="1" si="1"/>
        <v>45297</v>
      </c>
      <c r="C202" s="4" t="str">
        <f t="shared" ca="1" si="24"/>
        <v>2024-01</v>
      </c>
      <c r="D202" s="5">
        <f t="shared" ca="1" si="3"/>
        <v>0.65902777777777777</v>
      </c>
      <c r="E202" s="3" t="str" cm="1">
        <f t="array" aca="1" ref="E202" ca="1">INDEX(lista!$A$1:$A$12, RANDBETWEEN(1, 12))</f>
        <v>Santa Rosa</v>
      </c>
      <c r="F202" s="3" t="s">
        <v>24</v>
      </c>
      <c r="G202" s="3" t="str" cm="1">
        <f t="array" aca="1" ref="G202" ca="1">INDEX(lista!$B$1:$B$6, RANDBETWEEN(1, 6))</f>
        <v>TVM</v>
      </c>
      <c r="H202" s="3" t="str" cm="1">
        <f t="array" aca="1" ref="H202" ca="1">INDEX(lista!$C$1:$C$4, RANDBETWEEN(1, 4))</f>
        <v>Mantenimiento preventivo</v>
      </c>
      <c r="I202" s="3" t="str">
        <f t="shared" ca="1" si="25"/>
        <v>Baja</v>
      </c>
      <c r="J202" s="3" t="str">
        <f t="shared" ca="1" si="26"/>
        <v>Atendida</v>
      </c>
      <c r="K202" s="4">
        <f t="shared" ca="1" si="27"/>
        <v>45299</v>
      </c>
      <c r="L202" s="1">
        <f t="shared" ca="1" si="28"/>
        <v>21</v>
      </c>
      <c r="M202" s="3" t="str">
        <f t="shared" ca="1" si="29"/>
        <v>Telecomunicaciones</v>
      </c>
    </row>
    <row r="203" spans="1:13" x14ac:dyDescent="0.3">
      <c r="A203" s="3">
        <f t="shared" si="23"/>
        <v>202</v>
      </c>
      <c r="B203" s="4">
        <f t="shared" ca="1" si="1"/>
        <v>45372</v>
      </c>
      <c r="C203" s="4" t="str">
        <f t="shared" ca="1" si="24"/>
        <v>2024-03</v>
      </c>
      <c r="D203" s="5">
        <f t="shared" ca="1" si="3"/>
        <v>0.40763888888888888</v>
      </c>
      <c r="E203" s="3" t="str" cm="1">
        <f t="array" aca="1" ref="E203" ca="1">INDEX(lista!$A$1:$A$12, RANDBETWEEN(1, 12))</f>
        <v>San Borja Sur</v>
      </c>
      <c r="F203" s="3" t="s">
        <v>24</v>
      </c>
      <c r="G203" s="3" t="str" cm="1">
        <f t="array" aca="1" ref="G203" ca="1">INDEX(lista!$B$1:$B$6, RANDBETWEEN(1, 6))</f>
        <v>Ascensor</v>
      </c>
      <c r="H203" s="3" t="str" cm="1">
        <f t="array" aca="1" ref="H203" ca="1">INDEX(lista!$C$1:$C$4, RANDBETWEEN(1, 4))</f>
        <v>Falla mecánica</v>
      </c>
      <c r="I203" s="3" t="str">
        <f t="shared" ca="1" si="25"/>
        <v>Baja</v>
      </c>
      <c r="J203" s="3" t="str">
        <f t="shared" ca="1" si="26"/>
        <v>Atendida</v>
      </c>
      <c r="K203" s="4">
        <f t="shared" ca="1" si="27"/>
        <v>45374</v>
      </c>
      <c r="L203" s="1">
        <f t="shared" ca="1" si="28"/>
        <v>18</v>
      </c>
      <c r="M203" s="3" t="str">
        <f t="shared" ca="1" si="29"/>
        <v>Mantenimiento</v>
      </c>
    </row>
    <row r="204" spans="1:13" x14ac:dyDescent="0.3">
      <c r="A204" s="3">
        <f t="shared" si="23"/>
        <v>203</v>
      </c>
      <c r="B204" s="4">
        <f t="shared" ca="1" si="1"/>
        <v>45232</v>
      </c>
      <c r="C204" s="4" t="str">
        <f t="shared" ca="1" si="24"/>
        <v>2023-11</v>
      </c>
      <c r="D204" s="5">
        <f t="shared" ca="1" si="3"/>
        <v>7.2916666666666657E-2</v>
      </c>
      <c r="E204" s="3" t="str" cm="1">
        <f t="array" aca="1" ref="E204" ca="1">INDEX(lista!$A$1:$A$12, RANDBETWEEN(1, 12))</f>
        <v>Santa Rosa</v>
      </c>
      <c r="F204" s="3" t="s">
        <v>24</v>
      </c>
      <c r="G204" s="3" t="str" cm="1">
        <f t="array" aca="1" ref="G204" ca="1">INDEX(lista!$B$1:$B$6, RANDBETWEEN(1, 6))</f>
        <v>TVM</v>
      </c>
      <c r="H204" s="3" t="str" cm="1">
        <f t="array" aca="1" ref="H204" ca="1">INDEX(lista!$C$1:$C$4, RANDBETWEEN(1, 4))</f>
        <v>Falla mecánica</v>
      </c>
      <c r="I204" s="3" t="str">
        <f t="shared" ca="1" si="25"/>
        <v>Media</v>
      </c>
      <c r="J204" s="3" t="str">
        <f t="shared" ca="1" si="26"/>
        <v>En curso</v>
      </c>
      <c r="K204" s="4" t="str">
        <f t="shared" ca="1" si="27"/>
        <v/>
      </c>
      <c r="L204" s="1" t="str">
        <f t="shared" ca="1" si="28"/>
        <v/>
      </c>
      <c r="M204" s="3" t="str">
        <f t="shared" ca="1" si="29"/>
        <v>Telecomunicaciones</v>
      </c>
    </row>
    <row r="205" spans="1:13" x14ac:dyDescent="0.3">
      <c r="A205" s="3">
        <f t="shared" si="23"/>
        <v>204</v>
      </c>
      <c r="B205" s="4">
        <f t="shared" ca="1" si="1"/>
        <v>45328</v>
      </c>
      <c r="C205" s="4" t="str">
        <f t="shared" ca="1" si="24"/>
        <v>2024-02</v>
      </c>
      <c r="D205" s="5">
        <f t="shared" ca="1" si="3"/>
        <v>0.57847222222222217</v>
      </c>
      <c r="E205" s="3" t="str" cm="1">
        <f t="array" aca="1" ref="E205" ca="1">INDEX(lista!$A$1:$A$12, RANDBETWEEN(1, 12))</f>
        <v>Villa El Salvador</v>
      </c>
      <c r="F205" s="3" t="s">
        <v>24</v>
      </c>
      <c r="G205" s="3" t="str" cm="1">
        <f t="array" aca="1" ref="G205" ca="1">INDEX(lista!$B$1:$B$6, RANDBETWEEN(1, 6))</f>
        <v>Ascensor</v>
      </c>
      <c r="H205" s="3" t="str" cm="1">
        <f t="array" aca="1" ref="H205" ca="1">INDEX(lista!$C$1:$C$4, RANDBETWEEN(1, 4))</f>
        <v>Mantenimiento preventivo</v>
      </c>
      <c r="I205" s="3" t="str">
        <f t="shared" ca="1" si="25"/>
        <v>Alta</v>
      </c>
      <c r="J205" s="3" t="str">
        <f t="shared" ca="1" si="26"/>
        <v>Atendida</v>
      </c>
      <c r="K205" s="4">
        <f t="shared" ca="1" si="27"/>
        <v>45328</v>
      </c>
      <c r="L205" s="1">
        <f t="shared" ca="1" si="28"/>
        <v>10</v>
      </c>
      <c r="M205" s="3" t="str">
        <f t="shared" ca="1" si="29"/>
        <v>Mantenimiento</v>
      </c>
    </row>
    <row r="206" spans="1:13" x14ac:dyDescent="0.3">
      <c r="A206" s="3">
        <f t="shared" si="23"/>
        <v>205</v>
      </c>
      <c r="B206" s="4">
        <f t="shared" ca="1" si="1"/>
        <v>45031</v>
      </c>
      <c r="C206" s="4" t="str">
        <f t="shared" ca="1" si="24"/>
        <v>2023-04</v>
      </c>
      <c r="D206" s="5">
        <f t="shared" ca="1" si="3"/>
        <v>0.45347222222222222</v>
      </c>
      <c r="E206" s="3" t="str" cm="1">
        <f t="array" aca="1" ref="E206" ca="1">INDEX(lista!$A$1:$A$12, RANDBETWEEN(1, 12))</f>
        <v>La Cultura</v>
      </c>
      <c r="F206" s="3" t="s">
        <v>24</v>
      </c>
      <c r="G206" s="3" t="str" cm="1">
        <f t="array" aca="1" ref="G206" ca="1">INDEX(lista!$B$1:$B$6, RANDBETWEEN(1, 6))</f>
        <v>Escalera eléctrica</v>
      </c>
      <c r="H206" s="3" t="str" cm="1">
        <f t="array" aca="1" ref="H206" ca="1">INDEX(lista!$C$1:$C$4, RANDBETWEEN(1, 4))</f>
        <v>Falla eléctrica</v>
      </c>
      <c r="I206" s="3" t="str">
        <f t="shared" ca="1" si="25"/>
        <v>Baja</v>
      </c>
      <c r="J206" s="3" t="str">
        <f t="shared" ca="1" si="26"/>
        <v>Pendiente</v>
      </c>
      <c r="K206" s="4" t="str">
        <f t="shared" ca="1" si="27"/>
        <v/>
      </c>
      <c r="L206" s="1" t="str">
        <f t="shared" ca="1" si="28"/>
        <v/>
      </c>
      <c r="M206" s="3" t="str">
        <f t="shared" ca="1" si="29"/>
        <v>Mantenimiento</v>
      </c>
    </row>
    <row r="207" spans="1:13" x14ac:dyDescent="0.3">
      <c r="A207" s="3">
        <f t="shared" si="23"/>
        <v>206</v>
      </c>
      <c r="B207" s="4">
        <f t="shared" ca="1" si="1"/>
        <v>45019</v>
      </c>
      <c r="C207" s="4" t="str">
        <f t="shared" ca="1" si="24"/>
        <v>2023-04</v>
      </c>
      <c r="D207" s="5">
        <f t="shared" ca="1" si="3"/>
        <v>0.41666666666666669</v>
      </c>
      <c r="E207" s="3" t="str" cm="1">
        <f t="array" aca="1" ref="E207" ca="1">INDEX(lista!$A$1:$A$12, RANDBETWEEN(1, 12))</f>
        <v>Santa Rosa</v>
      </c>
      <c r="F207" s="3" t="s">
        <v>24</v>
      </c>
      <c r="G207" s="3" t="str" cm="1">
        <f t="array" aca="1" ref="G207" ca="1">INDEX(lista!$B$1:$B$6, RANDBETWEEN(1, 6))</f>
        <v>Escalera eléctrica</v>
      </c>
      <c r="H207" s="3" t="str" cm="1">
        <f t="array" aca="1" ref="H207" ca="1">INDEX(lista!$C$1:$C$4, RANDBETWEEN(1, 4))</f>
        <v>Mantenimiento preventivo</v>
      </c>
      <c r="I207" s="3" t="str">
        <f t="shared" ca="1" si="25"/>
        <v>Alta</v>
      </c>
      <c r="J207" s="3" t="str">
        <f t="shared" ca="1" si="26"/>
        <v>Atendida</v>
      </c>
      <c r="K207" s="4">
        <f t="shared" ca="1" si="27"/>
        <v>45020</v>
      </c>
      <c r="L207" s="1">
        <f t="shared" ca="1" si="28"/>
        <v>18</v>
      </c>
      <c r="M207" s="3" t="str">
        <f t="shared" ca="1" si="29"/>
        <v>Mantenimiento</v>
      </c>
    </row>
    <row r="208" spans="1:13" x14ac:dyDescent="0.3">
      <c r="A208" s="3">
        <f t="shared" si="23"/>
        <v>207</v>
      </c>
      <c r="B208" s="4">
        <f t="shared" ca="1" si="1"/>
        <v>45050</v>
      </c>
      <c r="C208" s="4" t="str">
        <f t="shared" ca="1" si="24"/>
        <v>2023-05</v>
      </c>
      <c r="D208" s="5">
        <f t="shared" ca="1" si="3"/>
        <v>0.14791666666666667</v>
      </c>
      <c r="E208" s="3" t="str" cm="1">
        <f t="array" aca="1" ref="E208" ca="1">INDEX(lista!$A$1:$A$12, RANDBETWEEN(1, 12))</f>
        <v>Pumacahua</v>
      </c>
      <c r="F208" s="3" t="s">
        <v>24</v>
      </c>
      <c r="G208" s="3" t="str" cm="1">
        <f t="array" aca="1" ref="G208" ca="1">INDEX(lista!$B$1:$B$6, RANDBETWEEN(1, 6))</f>
        <v>Escalera eléctrica</v>
      </c>
      <c r="H208" s="3" t="str" cm="1">
        <f t="array" aca="1" ref="H208" ca="1">INDEX(lista!$C$1:$C$4, RANDBETWEEN(1, 4))</f>
        <v>Falla mecánica</v>
      </c>
      <c r="I208" s="3" t="str">
        <f t="shared" ca="1" si="25"/>
        <v>Baja</v>
      </c>
      <c r="J208" s="3" t="str">
        <f t="shared" ca="1" si="26"/>
        <v>En curso</v>
      </c>
      <c r="K208" s="4" t="str">
        <f t="shared" ca="1" si="27"/>
        <v/>
      </c>
      <c r="L208" s="1" t="str">
        <f t="shared" ca="1" si="28"/>
        <v/>
      </c>
      <c r="M208" s="3" t="str">
        <f t="shared" ca="1" si="29"/>
        <v>Mantenimiento</v>
      </c>
    </row>
    <row r="209" spans="1:13" x14ac:dyDescent="0.3">
      <c r="A209" s="3">
        <f t="shared" si="23"/>
        <v>208</v>
      </c>
      <c r="B209" s="4">
        <f t="shared" ca="1" si="1"/>
        <v>45421</v>
      </c>
      <c r="C209" s="4" t="str">
        <f t="shared" ca="1" si="24"/>
        <v>2024-05</v>
      </c>
      <c r="D209" s="5">
        <f t="shared" ca="1" si="3"/>
        <v>0.88958333333333328</v>
      </c>
      <c r="E209" s="3" t="str" cm="1">
        <f t="array" aca="1" ref="E209" ca="1">INDEX(lista!$A$1:$A$12, RANDBETWEEN(1, 12))</f>
        <v>Atocongo</v>
      </c>
      <c r="F209" s="3" t="s">
        <v>24</v>
      </c>
      <c r="G209" s="3" t="str" cm="1">
        <f t="array" aca="1" ref="G209" ca="1">INDEX(lista!$B$1:$B$6, RANDBETWEEN(1, 6))</f>
        <v>Torniquete</v>
      </c>
      <c r="H209" s="3" t="str" cm="1">
        <f t="array" aca="1" ref="H209" ca="1">INDEX(lista!$C$1:$C$4, RANDBETWEEN(1, 4))</f>
        <v>Falla mecánica</v>
      </c>
      <c r="I209" s="3" t="str">
        <f t="shared" ca="1" si="25"/>
        <v>Media</v>
      </c>
      <c r="J209" s="3" t="str">
        <f t="shared" ca="1" si="26"/>
        <v>Atendida</v>
      </c>
      <c r="K209" s="4">
        <f t="shared" ca="1" si="27"/>
        <v>45422</v>
      </c>
      <c r="L209" s="1">
        <f t="shared" ca="1" si="28"/>
        <v>18</v>
      </c>
      <c r="M209" s="3" t="str">
        <f t="shared" ca="1" si="29"/>
        <v>Telecomunicaciones</v>
      </c>
    </row>
    <row r="210" spans="1:13" x14ac:dyDescent="0.3">
      <c r="A210" s="3">
        <f t="shared" si="23"/>
        <v>209</v>
      </c>
      <c r="B210" s="4">
        <f t="shared" ca="1" si="1"/>
        <v>45224</v>
      </c>
      <c r="C210" s="4" t="str">
        <f t="shared" ca="1" si="24"/>
        <v>2023-10</v>
      </c>
      <c r="D210" s="5">
        <f t="shared" ca="1" si="3"/>
        <v>0.47361111111111109</v>
      </c>
      <c r="E210" s="3" t="str" cm="1">
        <f t="array" aca="1" ref="E210" ca="1">INDEX(lista!$A$1:$A$12, RANDBETWEEN(1, 12))</f>
        <v>Atocongo</v>
      </c>
      <c r="F210" s="3" t="s">
        <v>24</v>
      </c>
      <c r="G210" s="3" t="str" cm="1">
        <f t="array" aca="1" ref="G210" ca="1">INDEX(lista!$B$1:$B$6, RANDBETWEEN(1, 6))</f>
        <v>Ascensor</v>
      </c>
      <c r="H210" s="3" t="str" cm="1">
        <f t="array" aca="1" ref="H210" ca="1">INDEX(lista!$C$1:$C$4, RANDBETWEEN(1, 4))</f>
        <v>Falla eléctrica</v>
      </c>
      <c r="I210" s="3" t="str">
        <f t="shared" ca="1" si="25"/>
        <v>Alta</v>
      </c>
      <c r="J210" s="3" t="str">
        <f t="shared" ca="1" si="26"/>
        <v>Atendida</v>
      </c>
      <c r="K210" s="4">
        <f t="shared" ca="1" si="27"/>
        <v>45226</v>
      </c>
      <c r="L210" s="1">
        <f t="shared" ca="1" si="28"/>
        <v>15</v>
      </c>
      <c r="M210" s="3" t="str">
        <f t="shared" ca="1" si="29"/>
        <v>Mantenimiento</v>
      </c>
    </row>
    <row r="211" spans="1:13" x14ac:dyDescent="0.3">
      <c r="A211" s="3">
        <f t="shared" si="23"/>
        <v>210</v>
      </c>
      <c r="B211" s="4">
        <f t="shared" ca="1" si="1"/>
        <v>45058</v>
      </c>
      <c r="C211" s="4" t="str">
        <f t="shared" ca="1" si="24"/>
        <v>2023-05</v>
      </c>
      <c r="D211" s="5">
        <f t="shared" ca="1" si="3"/>
        <v>0.9375</v>
      </c>
      <c r="E211" s="3" t="str" cm="1">
        <f t="array" aca="1" ref="E211" ca="1">INDEX(lista!$A$1:$A$12, RANDBETWEEN(1, 12))</f>
        <v>Angamos</v>
      </c>
      <c r="F211" s="3" t="s">
        <v>24</v>
      </c>
      <c r="G211" s="3" t="str" cm="1">
        <f t="array" aca="1" ref="G211" ca="1">INDEX(lista!$B$1:$B$6, RANDBETWEEN(1, 6))</f>
        <v>Torniquete</v>
      </c>
      <c r="H211" s="3" t="str" cm="1">
        <f t="array" aca="1" ref="H211" ca="1">INDEX(lista!$C$1:$C$4, RANDBETWEEN(1, 4))</f>
        <v>Daño en infraestructura</v>
      </c>
      <c r="I211" s="3" t="str">
        <f t="shared" ca="1" si="25"/>
        <v>Alta</v>
      </c>
      <c r="J211" s="3" t="str">
        <f t="shared" ca="1" si="26"/>
        <v>En curso</v>
      </c>
      <c r="K211" s="4" t="str">
        <f t="shared" ca="1" si="27"/>
        <v/>
      </c>
      <c r="L211" s="1" t="str">
        <f t="shared" ca="1" si="28"/>
        <v/>
      </c>
      <c r="M211" s="3" t="str">
        <f t="shared" ca="1" si="29"/>
        <v>Telecomunicaciones</v>
      </c>
    </row>
    <row r="212" spans="1:13" x14ac:dyDescent="0.3">
      <c r="A212" s="3">
        <f t="shared" si="23"/>
        <v>211</v>
      </c>
      <c r="B212" s="4">
        <f t="shared" ca="1" si="1"/>
        <v>45089</v>
      </c>
      <c r="C212" s="4" t="str">
        <f t="shared" ca="1" si="24"/>
        <v>2023-06</v>
      </c>
      <c r="D212" s="5">
        <f t="shared" ca="1" si="3"/>
        <v>0.36319444444444443</v>
      </c>
      <c r="E212" s="3" t="str" cm="1">
        <f t="array" aca="1" ref="E212" ca="1">INDEX(lista!$A$1:$A$12, RANDBETWEEN(1, 12))</f>
        <v>Angamos</v>
      </c>
      <c r="F212" s="3" t="s">
        <v>24</v>
      </c>
      <c r="G212" s="3" t="str" cm="1">
        <f t="array" aca="1" ref="G212" ca="1">INDEX(lista!$B$1:$B$6, RANDBETWEEN(1, 6))</f>
        <v>Escalera eléctrica</v>
      </c>
      <c r="H212" s="3" t="str" cm="1">
        <f t="array" aca="1" ref="H212" ca="1">INDEX(lista!$C$1:$C$4, RANDBETWEEN(1, 4))</f>
        <v>Falla mecánica</v>
      </c>
      <c r="I212" s="3" t="str">
        <f t="shared" ca="1" si="25"/>
        <v>Media</v>
      </c>
      <c r="J212" s="3" t="str">
        <f t="shared" ca="1" si="26"/>
        <v>Atendida</v>
      </c>
      <c r="K212" s="4">
        <f t="shared" ca="1" si="27"/>
        <v>45090</v>
      </c>
      <c r="L212" s="1">
        <f t="shared" ca="1" si="28"/>
        <v>11</v>
      </c>
      <c r="M212" s="3" t="str">
        <f t="shared" ca="1" si="29"/>
        <v>Mantenimiento</v>
      </c>
    </row>
    <row r="213" spans="1:13" x14ac:dyDescent="0.3">
      <c r="A213" s="3">
        <f t="shared" si="23"/>
        <v>212</v>
      </c>
      <c r="B213" s="4">
        <f t="shared" ca="1" si="1"/>
        <v>45198</v>
      </c>
      <c r="C213" s="4" t="str">
        <f t="shared" ca="1" si="24"/>
        <v>2023-09</v>
      </c>
      <c r="D213" s="5">
        <f t="shared" ca="1" si="3"/>
        <v>0.69652777777777775</v>
      </c>
      <c r="E213" s="3" t="str" cm="1">
        <f t="array" aca="1" ref="E213" ca="1">INDEX(lista!$A$1:$A$12, RANDBETWEEN(1, 12))</f>
        <v>Villa El Salvador</v>
      </c>
      <c r="F213" s="3" t="s">
        <v>24</v>
      </c>
      <c r="G213" s="3" t="str" cm="1">
        <f t="array" aca="1" ref="G213" ca="1">INDEX(lista!$B$1:$B$6, RANDBETWEEN(1, 6))</f>
        <v>Ascensor</v>
      </c>
      <c r="H213" s="3" t="str" cm="1">
        <f t="array" aca="1" ref="H213" ca="1">INDEX(lista!$C$1:$C$4, RANDBETWEEN(1, 4))</f>
        <v>Daño en infraestructura</v>
      </c>
      <c r="I213" s="3" t="str">
        <f t="shared" ca="1" si="25"/>
        <v>Baja</v>
      </c>
      <c r="J213" s="3" t="str">
        <f t="shared" ca="1" si="26"/>
        <v>Atendida</v>
      </c>
      <c r="K213" s="4">
        <f t="shared" ca="1" si="27"/>
        <v>45198</v>
      </c>
      <c r="L213" s="1">
        <f t="shared" ca="1" si="28"/>
        <v>23</v>
      </c>
      <c r="M213" s="3" t="str">
        <f t="shared" ca="1" si="29"/>
        <v>Mantenimiento</v>
      </c>
    </row>
    <row r="214" spans="1:13" x14ac:dyDescent="0.3">
      <c r="A214" s="3">
        <f t="shared" si="23"/>
        <v>213</v>
      </c>
      <c r="B214" s="4">
        <f t="shared" ca="1" si="1"/>
        <v>45479</v>
      </c>
      <c r="C214" s="4" t="str">
        <f t="shared" ca="1" si="24"/>
        <v>2024-07</v>
      </c>
      <c r="D214" s="5">
        <f t="shared" ca="1" si="3"/>
        <v>0.39861111111111114</v>
      </c>
      <c r="E214" s="3" t="str" cm="1">
        <f t="array" aca="1" ref="E214" ca="1">INDEX(lista!$A$1:$A$12, RANDBETWEEN(1, 12))</f>
        <v>Bayóvar</v>
      </c>
      <c r="F214" s="3" t="s">
        <v>24</v>
      </c>
      <c r="G214" s="3" t="str" cm="1">
        <f t="array" aca="1" ref="G214" ca="1">INDEX(lista!$B$1:$B$6, RANDBETWEEN(1, 6))</f>
        <v>TVM</v>
      </c>
      <c r="H214" s="3" t="str" cm="1">
        <f t="array" aca="1" ref="H214" ca="1">INDEX(lista!$C$1:$C$4, RANDBETWEEN(1, 4))</f>
        <v>Mantenimiento preventivo</v>
      </c>
      <c r="I214" s="3" t="str">
        <f t="shared" ca="1" si="25"/>
        <v>Baja</v>
      </c>
      <c r="J214" s="3" t="str">
        <f t="shared" ca="1" si="26"/>
        <v>Atendida</v>
      </c>
      <c r="K214" s="4">
        <f t="shared" ca="1" si="27"/>
        <v>45479</v>
      </c>
      <c r="L214" s="1">
        <f t="shared" ca="1" si="28"/>
        <v>11</v>
      </c>
      <c r="M214" s="3" t="str">
        <f t="shared" ca="1" si="29"/>
        <v>Telecomunicaciones</v>
      </c>
    </row>
    <row r="215" spans="1:13" x14ac:dyDescent="0.3">
      <c r="A215" s="3">
        <f t="shared" si="23"/>
        <v>214</v>
      </c>
      <c r="B215" s="4">
        <f t="shared" ca="1" si="1"/>
        <v>44980</v>
      </c>
      <c r="C215" s="4" t="str">
        <f t="shared" ca="1" si="24"/>
        <v>2023-02</v>
      </c>
      <c r="D215" s="5">
        <f t="shared" ca="1" si="3"/>
        <v>0.56527777777777777</v>
      </c>
      <c r="E215" s="3" t="str" cm="1">
        <f t="array" aca="1" ref="E215" ca="1">INDEX(lista!$A$1:$A$12, RANDBETWEEN(1, 12))</f>
        <v>Atocongo</v>
      </c>
      <c r="F215" s="3" t="s">
        <v>24</v>
      </c>
      <c r="G215" s="3" t="str" cm="1">
        <f t="array" aca="1" ref="G215" ca="1">INDEX(lista!$B$1:$B$6, RANDBETWEEN(1, 6))</f>
        <v>Torniquete</v>
      </c>
      <c r="H215" s="3" t="str" cm="1">
        <f t="array" aca="1" ref="H215" ca="1">INDEX(lista!$C$1:$C$4, RANDBETWEEN(1, 4))</f>
        <v>Falla eléctrica</v>
      </c>
      <c r="I215" s="3" t="str">
        <f t="shared" ca="1" si="25"/>
        <v>Alta</v>
      </c>
      <c r="J215" s="3" t="str">
        <f t="shared" ca="1" si="26"/>
        <v>Atendida</v>
      </c>
      <c r="K215" s="4">
        <f t="shared" ca="1" si="27"/>
        <v>44982</v>
      </c>
      <c r="L215" s="1">
        <f t="shared" ca="1" si="28"/>
        <v>1</v>
      </c>
      <c r="M215" s="3" t="str">
        <f t="shared" ca="1" si="29"/>
        <v>Telecomunicaciones</v>
      </c>
    </row>
    <row r="216" spans="1:13" x14ac:dyDescent="0.3">
      <c r="A216" s="3">
        <f t="shared" si="23"/>
        <v>215</v>
      </c>
      <c r="B216" s="4">
        <f t="shared" ca="1" si="1"/>
        <v>45610</v>
      </c>
      <c r="C216" s="4" t="str">
        <f t="shared" ca="1" si="24"/>
        <v>2024-11</v>
      </c>
      <c r="D216" s="5">
        <f t="shared" ca="1" si="3"/>
        <v>0.71458333333333335</v>
      </c>
      <c r="E216" s="3" t="str" cm="1">
        <f t="array" aca="1" ref="E216" ca="1">INDEX(lista!$A$1:$A$12, RANDBETWEEN(1, 12))</f>
        <v>Ayacucho</v>
      </c>
      <c r="F216" s="3" t="s">
        <v>24</v>
      </c>
      <c r="G216" s="3" t="str" cm="1">
        <f t="array" aca="1" ref="G216" ca="1">INDEX(lista!$B$1:$B$6, RANDBETWEEN(1, 6))</f>
        <v>Escalera eléctrica</v>
      </c>
      <c r="H216" s="3" t="str" cm="1">
        <f t="array" aca="1" ref="H216" ca="1">INDEX(lista!$C$1:$C$4, RANDBETWEEN(1, 4))</f>
        <v>Daño en infraestructura</v>
      </c>
      <c r="I216" s="3" t="str">
        <f t="shared" ca="1" si="25"/>
        <v>Alta</v>
      </c>
      <c r="J216" s="3" t="str">
        <f t="shared" ca="1" si="26"/>
        <v>Atendida</v>
      </c>
      <c r="K216" s="4">
        <f t="shared" ca="1" si="27"/>
        <v>45610</v>
      </c>
      <c r="L216" s="1">
        <f t="shared" ca="1" si="28"/>
        <v>22</v>
      </c>
      <c r="M216" s="3" t="str">
        <f t="shared" ca="1" si="29"/>
        <v>Mantenimiento</v>
      </c>
    </row>
    <row r="217" spans="1:13" x14ac:dyDescent="0.3">
      <c r="A217" s="3">
        <f t="shared" si="23"/>
        <v>216</v>
      </c>
      <c r="B217" s="4">
        <f t="shared" ca="1" si="1"/>
        <v>45540</v>
      </c>
      <c r="C217" s="4" t="str">
        <f t="shared" ca="1" si="24"/>
        <v>2024-09</v>
      </c>
      <c r="D217" s="5">
        <f t="shared" ca="1" si="3"/>
        <v>0.51249999999999996</v>
      </c>
      <c r="E217" s="3" t="str" cm="1">
        <f t="array" aca="1" ref="E217" ca="1">INDEX(lista!$A$1:$A$12, RANDBETWEEN(1, 12))</f>
        <v>Bayóvar</v>
      </c>
      <c r="F217" s="3" t="s">
        <v>24</v>
      </c>
      <c r="G217" s="3" t="str" cm="1">
        <f t="array" aca="1" ref="G217" ca="1">INDEX(lista!$B$1:$B$6, RANDBETWEEN(1, 6))</f>
        <v>Torniquete</v>
      </c>
      <c r="H217" s="3" t="str" cm="1">
        <f t="array" aca="1" ref="H217" ca="1">INDEX(lista!$C$1:$C$4, RANDBETWEEN(1, 4))</f>
        <v>Mantenimiento preventivo</v>
      </c>
      <c r="I217" s="3" t="str">
        <f t="shared" ca="1" si="25"/>
        <v>Alta</v>
      </c>
      <c r="J217" s="3" t="str">
        <f t="shared" ca="1" si="26"/>
        <v>En curso</v>
      </c>
      <c r="K217" s="4" t="str">
        <f t="shared" ca="1" si="27"/>
        <v/>
      </c>
      <c r="L217" s="1" t="str">
        <f t="shared" ca="1" si="28"/>
        <v/>
      </c>
      <c r="M217" s="3" t="str">
        <f t="shared" ca="1" si="29"/>
        <v>Telecomunicaciones</v>
      </c>
    </row>
    <row r="218" spans="1:13" x14ac:dyDescent="0.3">
      <c r="A218" s="3">
        <f t="shared" si="23"/>
        <v>217</v>
      </c>
      <c r="B218" s="4">
        <f t="shared" ca="1" si="1"/>
        <v>45455</v>
      </c>
      <c r="C218" s="4" t="str">
        <f t="shared" ca="1" si="24"/>
        <v>2024-06</v>
      </c>
      <c r="D218" s="5">
        <f t="shared" ca="1" si="3"/>
        <v>0.8534722222222223</v>
      </c>
      <c r="E218" s="3" t="str" cm="1">
        <f t="array" aca="1" ref="E218" ca="1">INDEX(lista!$A$1:$A$12, RANDBETWEEN(1, 12))</f>
        <v>Villa El Salvador</v>
      </c>
      <c r="F218" s="3" t="s">
        <v>24</v>
      </c>
      <c r="G218" s="3" t="str" cm="1">
        <f t="array" aca="1" ref="G218" ca="1">INDEX(lista!$B$1:$B$6, RANDBETWEEN(1, 6))</f>
        <v>MET</v>
      </c>
      <c r="H218" s="3" t="str" cm="1">
        <f t="array" aca="1" ref="H218" ca="1">INDEX(lista!$C$1:$C$4, RANDBETWEEN(1, 4))</f>
        <v>Falla eléctrica</v>
      </c>
      <c r="I218" s="3" t="str">
        <f t="shared" ca="1" si="25"/>
        <v>Media</v>
      </c>
      <c r="J218" s="3" t="str">
        <f t="shared" ca="1" si="26"/>
        <v>Atendida</v>
      </c>
      <c r="K218" s="4">
        <f t="shared" ca="1" si="27"/>
        <v>45455</v>
      </c>
      <c r="L218" s="1">
        <f t="shared" ca="1" si="28"/>
        <v>11</v>
      </c>
      <c r="M218" s="3" t="str">
        <f t="shared" ca="1" si="29"/>
        <v>Telecomunicaciones</v>
      </c>
    </row>
    <row r="219" spans="1:13" x14ac:dyDescent="0.3">
      <c r="A219" s="3">
        <f t="shared" si="23"/>
        <v>218</v>
      </c>
      <c r="B219" s="4">
        <f t="shared" ca="1" si="1"/>
        <v>45528</v>
      </c>
      <c r="C219" s="4" t="str">
        <f t="shared" ca="1" si="24"/>
        <v>2024-08</v>
      </c>
      <c r="D219" s="5">
        <f t="shared" ca="1" si="3"/>
        <v>0.17013888888888887</v>
      </c>
      <c r="E219" s="3" t="str" cm="1">
        <f t="array" aca="1" ref="E219" ca="1">INDEX(lista!$A$1:$A$12, RANDBETWEEN(1, 12))</f>
        <v>Atocongo</v>
      </c>
      <c r="F219" s="3" t="s">
        <v>24</v>
      </c>
      <c r="G219" s="3" t="str" cm="1">
        <f t="array" aca="1" ref="G219" ca="1">INDEX(lista!$B$1:$B$6, RANDBETWEEN(1, 6))</f>
        <v>Escalera eléctrica</v>
      </c>
      <c r="H219" s="3" t="str" cm="1">
        <f t="array" aca="1" ref="H219" ca="1">INDEX(lista!$C$1:$C$4, RANDBETWEEN(1, 4))</f>
        <v>Mantenimiento preventivo</v>
      </c>
      <c r="I219" s="3" t="str">
        <f t="shared" ca="1" si="25"/>
        <v>Baja</v>
      </c>
      <c r="J219" s="3" t="str">
        <f t="shared" ca="1" si="26"/>
        <v>Atendida</v>
      </c>
      <c r="K219" s="4">
        <f t="shared" ca="1" si="27"/>
        <v>45528</v>
      </c>
      <c r="L219" s="1">
        <f t="shared" ca="1" si="28"/>
        <v>7</v>
      </c>
      <c r="M219" s="3" t="str">
        <f t="shared" ca="1" si="29"/>
        <v>Mantenimiento</v>
      </c>
    </row>
    <row r="220" spans="1:13" x14ac:dyDescent="0.3">
      <c r="A220" s="3">
        <f t="shared" si="23"/>
        <v>219</v>
      </c>
      <c r="B220" s="4">
        <f t="shared" ca="1" si="1"/>
        <v>45393</v>
      </c>
      <c r="C220" s="4" t="str">
        <f t="shared" ca="1" si="24"/>
        <v>2024-04</v>
      </c>
      <c r="D220" s="5">
        <f t="shared" ca="1" si="3"/>
        <v>0.77222222222222225</v>
      </c>
      <c r="E220" s="3" t="str" cm="1">
        <f t="array" aca="1" ref="E220" ca="1">INDEX(lista!$A$1:$A$12, RANDBETWEEN(1, 12))</f>
        <v>Villa El Salvador</v>
      </c>
      <c r="F220" s="3" t="s">
        <v>24</v>
      </c>
      <c r="G220" s="3" t="str" cm="1">
        <f t="array" aca="1" ref="G220" ca="1">INDEX(lista!$B$1:$B$6, RANDBETWEEN(1, 6))</f>
        <v>Escalera eléctrica</v>
      </c>
      <c r="H220" s="3" t="str" cm="1">
        <f t="array" aca="1" ref="H220" ca="1">INDEX(lista!$C$1:$C$4, RANDBETWEEN(1, 4))</f>
        <v>Falla eléctrica</v>
      </c>
      <c r="I220" s="3" t="str">
        <f t="shared" ca="1" si="25"/>
        <v>Media</v>
      </c>
      <c r="J220" s="3" t="str">
        <f t="shared" ca="1" si="26"/>
        <v>En curso</v>
      </c>
      <c r="K220" s="4" t="str">
        <f t="shared" ca="1" si="27"/>
        <v/>
      </c>
      <c r="L220" s="1" t="str">
        <f t="shared" ca="1" si="28"/>
        <v/>
      </c>
      <c r="M220" s="3" t="str">
        <f t="shared" ca="1" si="29"/>
        <v>Mantenimiento</v>
      </c>
    </row>
    <row r="221" spans="1:13" x14ac:dyDescent="0.3">
      <c r="A221" s="3">
        <f t="shared" si="23"/>
        <v>220</v>
      </c>
      <c r="B221" s="4">
        <f t="shared" ca="1" si="1"/>
        <v>45465</v>
      </c>
      <c r="C221" s="4" t="str">
        <f t="shared" ca="1" si="24"/>
        <v>2024-06</v>
      </c>
      <c r="D221" s="5">
        <f t="shared" ca="1" si="3"/>
        <v>0.59791666666666665</v>
      </c>
      <c r="E221" s="3" t="str" cm="1">
        <f t="array" aca="1" ref="E221" ca="1">INDEX(lista!$A$1:$A$12, RANDBETWEEN(1, 12))</f>
        <v>Pumacahua</v>
      </c>
      <c r="F221" s="3" t="s">
        <v>24</v>
      </c>
      <c r="G221" s="3" t="str" cm="1">
        <f t="array" aca="1" ref="G221" ca="1">INDEX(lista!$B$1:$B$6, RANDBETWEEN(1, 6))</f>
        <v>MET</v>
      </c>
      <c r="H221" s="3" t="str" cm="1">
        <f t="array" aca="1" ref="H221" ca="1">INDEX(lista!$C$1:$C$4, RANDBETWEEN(1, 4))</f>
        <v>Daño en infraestructura</v>
      </c>
      <c r="I221" s="3" t="str">
        <f t="shared" ca="1" si="25"/>
        <v>Baja</v>
      </c>
      <c r="J221" s="3" t="str">
        <f t="shared" ca="1" si="26"/>
        <v>Atendida</v>
      </c>
      <c r="K221" s="4">
        <f t="shared" ca="1" si="27"/>
        <v>45467</v>
      </c>
      <c r="L221" s="1">
        <f t="shared" ca="1" si="28"/>
        <v>17</v>
      </c>
      <c r="M221" s="3" t="str">
        <f t="shared" ca="1" si="29"/>
        <v>Telecomunicaciones</v>
      </c>
    </row>
    <row r="222" spans="1:13" x14ac:dyDescent="0.3">
      <c r="A222" s="3">
        <f t="shared" si="23"/>
        <v>221</v>
      </c>
      <c r="B222" s="4">
        <f t="shared" ca="1" si="1"/>
        <v>45162</v>
      </c>
      <c r="C222" s="4" t="str">
        <f t="shared" ca="1" si="24"/>
        <v>2023-08</v>
      </c>
      <c r="D222" s="5">
        <f t="shared" ca="1" si="3"/>
        <v>0.95486111111111105</v>
      </c>
      <c r="E222" s="3" t="str" cm="1">
        <f t="array" aca="1" ref="E222" ca="1">INDEX(lista!$A$1:$A$12, RANDBETWEEN(1, 12))</f>
        <v>Santa Rosa</v>
      </c>
      <c r="F222" s="3" t="s">
        <v>24</v>
      </c>
      <c r="G222" s="3" t="str" cm="1">
        <f t="array" aca="1" ref="G222" ca="1">INDEX(lista!$B$1:$B$6, RANDBETWEEN(1, 6))</f>
        <v>Torniquete</v>
      </c>
      <c r="H222" s="3" t="str" cm="1">
        <f t="array" aca="1" ref="H222" ca="1">INDEX(lista!$C$1:$C$4, RANDBETWEEN(1, 4))</f>
        <v>Falla mecánica</v>
      </c>
      <c r="I222" s="3" t="str">
        <f t="shared" ca="1" si="25"/>
        <v>Alta</v>
      </c>
      <c r="J222" s="3" t="str">
        <f t="shared" ca="1" si="26"/>
        <v>Pendiente</v>
      </c>
      <c r="K222" s="4" t="str">
        <f t="shared" ca="1" si="27"/>
        <v/>
      </c>
      <c r="L222" s="1" t="str">
        <f t="shared" ca="1" si="28"/>
        <v/>
      </c>
      <c r="M222" s="3" t="str">
        <f t="shared" ca="1" si="29"/>
        <v>Telecomunicaciones</v>
      </c>
    </row>
    <row r="223" spans="1:13" x14ac:dyDescent="0.3">
      <c r="A223" s="3">
        <f t="shared" si="23"/>
        <v>222</v>
      </c>
      <c r="B223" s="4">
        <f t="shared" ca="1" si="1"/>
        <v>45104</v>
      </c>
      <c r="C223" s="4" t="str">
        <f t="shared" ca="1" si="24"/>
        <v>2023-06</v>
      </c>
      <c r="D223" s="5">
        <f t="shared" ca="1" si="3"/>
        <v>0.34166666666666667</v>
      </c>
      <c r="E223" s="3" t="str" cm="1">
        <f t="array" aca="1" ref="E223" ca="1">INDEX(lista!$A$1:$A$12, RANDBETWEEN(1, 12))</f>
        <v>Ayacucho</v>
      </c>
      <c r="F223" s="3" t="s">
        <v>24</v>
      </c>
      <c r="G223" s="3" t="str" cm="1">
        <f t="array" aca="1" ref="G223" ca="1">INDEX(lista!$B$1:$B$6, RANDBETWEEN(1, 6))</f>
        <v>Torniquete</v>
      </c>
      <c r="H223" s="3" t="str" cm="1">
        <f t="array" aca="1" ref="H223" ca="1">INDEX(lista!$C$1:$C$4, RANDBETWEEN(1, 4))</f>
        <v>Falla eléctrica</v>
      </c>
      <c r="I223" s="3" t="str">
        <f t="shared" ca="1" si="25"/>
        <v>Baja</v>
      </c>
      <c r="J223" s="3" t="str">
        <f t="shared" ca="1" si="26"/>
        <v>En curso</v>
      </c>
      <c r="K223" s="4" t="str">
        <f t="shared" ca="1" si="27"/>
        <v/>
      </c>
      <c r="L223" s="1" t="str">
        <f t="shared" ca="1" si="28"/>
        <v/>
      </c>
      <c r="M223" s="3" t="str">
        <f t="shared" ca="1" si="29"/>
        <v>Telecomunicaciones</v>
      </c>
    </row>
    <row r="224" spans="1:13" x14ac:dyDescent="0.3">
      <c r="A224" s="3">
        <f t="shared" si="23"/>
        <v>223</v>
      </c>
      <c r="B224" s="4">
        <f t="shared" ca="1" si="1"/>
        <v>44974</v>
      </c>
      <c r="C224" s="4" t="str">
        <f t="shared" ca="1" si="24"/>
        <v>2023-02</v>
      </c>
      <c r="D224" s="5">
        <f t="shared" ca="1" si="3"/>
        <v>4.8611111111111105E-2</v>
      </c>
      <c r="E224" s="3" t="str" cm="1">
        <f t="array" aca="1" ref="E224" ca="1">INDEX(lista!$A$1:$A$12, RANDBETWEEN(1, 12))</f>
        <v>Cabitos</v>
      </c>
      <c r="F224" s="3" t="s">
        <v>24</v>
      </c>
      <c r="G224" s="3" t="str" cm="1">
        <f t="array" aca="1" ref="G224" ca="1">INDEX(lista!$B$1:$B$6, RANDBETWEEN(1, 6))</f>
        <v>Torniquete</v>
      </c>
      <c r="H224" s="3" t="str" cm="1">
        <f t="array" aca="1" ref="H224" ca="1">INDEX(lista!$C$1:$C$4, RANDBETWEEN(1, 4))</f>
        <v>Falla mecánica</v>
      </c>
      <c r="I224" s="3" t="str">
        <f t="shared" ca="1" si="25"/>
        <v>Alta</v>
      </c>
      <c r="J224" s="3" t="str">
        <f t="shared" ca="1" si="26"/>
        <v>Pendiente</v>
      </c>
      <c r="K224" s="4" t="str">
        <f t="shared" ca="1" si="27"/>
        <v/>
      </c>
      <c r="L224" s="1" t="str">
        <f t="shared" ca="1" si="28"/>
        <v/>
      </c>
      <c r="M224" s="3" t="str">
        <f t="shared" ca="1" si="29"/>
        <v>Telecomunicaciones</v>
      </c>
    </row>
    <row r="225" spans="1:13" x14ac:dyDescent="0.3">
      <c r="A225" s="3">
        <f t="shared" si="23"/>
        <v>224</v>
      </c>
      <c r="B225" s="4">
        <f t="shared" ca="1" si="1"/>
        <v>45165</v>
      </c>
      <c r="C225" s="4" t="str">
        <f t="shared" ca="1" si="24"/>
        <v>2023-08</v>
      </c>
      <c r="D225" s="5">
        <f t="shared" ca="1" si="3"/>
        <v>0.6430555555555556</v>
      </c>
      <c r="E225" s="3" t="str" cm="1">
        <f t="array" aca="1" ref="E225" ca="1">INDEX(lista!$A$1:$A$12, RANDBETWEEN(1, 12))</f>
        <v>Bayóvar</v>
      </c>
      <c r="F225" s="3" t="s">
        <v>24</v>
      </c>
      <c r="G225" s="3" t="str" cm="1">
        <f t="array" aca="1" ref="G225" ca="1">INDEX(lista!$B$1:$B$6, RANDBETWEEN(1, 6))</f>
        <v>Escalera eléctrica</v>
      </c>
      <c r="H225" s="3" t="str" cm="1">
        <f t="array" aca="1" ref="H225" ca="1">INDEX(lista!$C$1:$C$4, RANDBETWEEN(1, 4))</f>
        <v>Falla eléctrica</v>
      </c>
      <c r="I225" s="3" t="str">
        <f t="shared" ca="1" si="25"/>
        <v>Media</v>
      </c>
      <c r="J225" s="3" t="str">
        <f t="shared" ca="1" si="26"/>
        <v>Atendida</v>
      </c>
      <c r="K225" s="4">
        <f t="shared" ca="1" si="27"/>
        <v>45165</v>
      </c>
      <c r="L225" s="1">
        <f t="shared" ca="1" si="28"/>
        <v>16</v>
      </c>
      <c r="M225" s="3" t="str">
        <f t="shared" ca="1" si="29"/>
        <v>Mantenimiento</v>
      </c>
    </row>
    <row r="226" spans="1:13" x14ac:dyDescent="0.3">
      <c r="A226" s="3">
        <f t="shared" si="23"/>
        <v>225</v>
      </c>
      <c r="B226" s="4">
        <f t="shared" ca="1" si="1"/>
        <v>45434</v>
      </c>
      <c r="C226" s="4" t="str">
        <f t="shared" ca="1" si="24"/>
        <v>2024-05</v>
      </c>
      <c r="D226" s="5">
        <f t="shared" ca="1" si="3"/>
        <v>0.24791666666666667</v>
      </c>
      <c r="E226" s="3" t="str" cm="1">
        <f t="array" aca="1" ref="E226" ca="1">INDEX(lista!$A$1:$A$12, RANDBETWEEN(1, 12))</f>
        <v>Atocongo</v>
      </c>
      <c r="F226" s="3" t="s">
        <v>24</v>
      </c>
      <c r="G226" s="3" t="str" cm="1">
        <f t="array" aca="1" ref="G226" ca="1">INDEX(lista!$B$1:$B$6, RANDBETWEEN(1, 6))</f>
        <v>Escalera eléctrica</v>
      </c>
      <c r="H226" s="3" t="str" cm="1">
        <f t="array" aca="1" ref="H226" ca="1">INDEX(lista!$C$1:$C$4, RANDBETWEEN(1, 4))</f>
        <v>Falla eléctrica</v>
      </c>
      <c r="I226" s="3" t="str">
        <f t="shared" ca="1" si="25"/>
        <v>Alta</v>
      </c>
      <c r="J226" s="3" t="str">
        <f t="shared" ca="1" si="26"/>
        <v>Atendida</v>
      </c>
      <c r="K226" s="4">
        <f t="shared" ca="1" si="27"/>
        <v>45435</v>
      </c>
      <c r="L226" s="1">
        <f t="shared" ca="1" si="28"/>
        <v>6</v>
      </c>
      <c r="M226" s="3" t="str">
        <f t="shared" ca="1" si="29"/>
        <v>Mantenimiento</v>
      </c>
    </row>
    <row r="227" spans="1:13" x14ac:dyDescent="0.3">
      <c r="A227" s="3">
        <f t="shared" si="23"/>
        <v>226</v>
      </c>
      <c r="B227" s="4">
        <f t="shared" ca="1" si="1"/>
        <v>45104</v>
      </c>
      <c r="C227" s="4" t="str">
        <f t="shared" ca="1" si="24"/>
        <v>2023-06</v>
      </c>
      <c r="D227" s="5">
        <f t="shared" ca="1" si="3"/>
        <v>0.33263888888888893</v>
      </c>
      <c r="E227" s="3" t="str" cm="1">
        <f t="array" aca="1" ref="E227" ca="1">INDEX(lista!$A$1:$A$12, RANDBETWEEN(1, 12))</f>
        <v>Angamos</v>
      </c>
      <c r="F227" s="3" t="s">
        <v>24</v>
      </c>
      <c r="G227" s="3" t="str" cm="1">
        <f t="array" aca="1" ref="G227" ca="1">INDEX(lista!$B$1:$B$6, RANDBETWEEN(1, 6))</f>
        <v>Radio</v>
      </c>
      <c r="H227" s="3" t="str" cm="1">
        <f t="array" aca="1" ref="H227" ca="1">INDEX(lista!$C$1:$C$4, RANDBETWEEN(1, 4))</f>
        <v>Falla eléctrica</v>
      </c>
      <c r="I227" s="3" t="str">
        <f t="shared" ca="1" si="25"/>
        <v>Media</v>
      </c>
      <c r="J227" s="3" t="str">
        <f t="shared" ca="1" si="26"/>
        <v>Atendida</v>
      </c>
      <c r="K227" s="4">
        <f t="shared" ca="1" si="27"/>
        <v>45106</v>
      </c>
      <c r="L227" s="1">
        <f t="shared" ca="1" si="28"/>
        <v>23</v>
      </c>
      <c r="M227" s="3" t="str">
        <f t="shared" ca="1" si="29"/>
        <v>Telecomunicaciones</v>
      </c>
    </row>
    <row r="228" spans="1:13" x14ac:dyDescent="0.3">
      <c r="A228" s="3">
        <f t="shared" si="23"/>
        <v>227</v>
      </c>
      <c r="B228" s="4">
        <f t="shared" ca="1" si="1"/>
        <v>45634</v>
      </c>
      <c r="C228" s="4" t="str">
        <f t="shared" ca="1" si="24"/>
        <v>2024-12</v>
      </c>
      <c r="D228" s="5">
        <f t="shared" ca="1" si="3"/>
        <v>0.26319444444444445</v>
      </c>
      <c r="E228" s="3" t="str" cm="1">
        <f t="array" aca="1" ref="E228" ca="1">INDEX(lista!$A$1:$A$12, RANDBETWEEN(1, 12))</f>
        <v>San Carlos</v>
      </c>
      <c r="F228" s="3" t="s">
        <v>24</v>
      </c>
      <c r="G228" s="3" t="str" cm="1">
        <f t="array" aca="1" ref="G228" ca="1">INDEX(lista!$B$1:$B$6, RANDBETWEEN(1, 6))</f>
        <v>Torniquete</v>
      </c>
      <c r="H228" s="3" t="str" cm="1">
        <f t="array" aca="1" ref="H228" ca="1">INDEX(lista!$C$1:$C$4, RANDBETWEEN(1, 4))</f>
        <v>Falla eléctrica</v>
      </c>
      <c r="I228" s="3" t="str">
        <f t="shared" ca="1" si="25"/>
        <v>Alta</v>
      </c>
      <c r="J228" s="3" t="str">
        <f t="shared" ca="1" si="26"/>
        <v>En curso</v>
      </c>
      <c r="K228" s="4" t="str">
        <f t="shared" ca="1" si="27"/>
        <v/>
      </c>
      <c r="L228" s="1" t="str">
        <f t="shared" ca="1" si="28"/>
        <v/>
      </c>
      <c r="M228" s="3" t="str">
        <f t="shared" ca="1" si="29"/>
        <v>Telecomunicaciones</v>
      </c>
    </row>
    <row r="229" spans="1:13" x14ac:dyDescent="0.3">
      <c r="A229" s="3">
        <f t="shared" si="23"/>
        <v>228</v>
      </c>
      <c r="B229" s="4">
        <f t="shared" ca="1" si="1"/>
        <v>45640</v>
      </c>
      <c r="C229" s="4" t="str">
        <f t="shared" ca="1" si="24"/>
        <v>2024-12</v>
      </c>
      <c r="D229" s="5">
        <f t="shared" ca="1" si="3"/>
        <v>0.58750000000000002</v>
      </c>
      <c r="E229" s="3" t="str" cm="1">
        <f t="array" aca="1" ref="E229" ca="1">INDEX(lista!$A$1:$A$12, RANDBETWEEN(1, 12))</f>
        <v>Ayacucho</v>
      </c>
      <c r="F229" s="3" t="s">
        <v>24</v>
      </c>
      <c r="G229" s="3" t="str" cm="1">
        <f t="array" aca="1" ref="G229" ca="1">INDEX(lista!$B$1:$B$6, RANDBETWEEN(1, 6))</f>
        <v>MET</v>
      </c>
      <c r="H229" s="3" t="str" cm="1">
        <f t="array" aca="1" ref="H229" ca="1">INDEX(lista!$C$1:$C$4, RANDBETWEEN(1, 4))</f>
        <v>Mantenimiento preventivo</v>
      </c>
      <c r="I229" s="3" t="str">
        <f t="shared" ca="1" si="25"/>
        <v>Media</v>
      </c>
      <c r="J229" s="3" t="str">
        <f t="shared" ca="1" si="26"/>
        <v>Pendiente</v>
      </c>
      <c r="K229" s="4" t="str">
        <f t="shared" ca="1" si="27"/>
        <v/>
      </c>
      <c r="L229" s="1" t="str">
        <f t="shared" ca="1" si="28"/>
        <v/>
      </c>
      <c r="M229" s="3" t="str">
        <f t="shared" ca="1" si="29"/>
        <v>Telecomunicaciones</v>
      </c>
    </row>
    <row r="230" spans="1:13" x14ac:dyDescent="0.3">
      <c r="A230" s="3">
        <f t="shared" si="23"/>
        <v>229</v>
      </c>
      <c r="B230" s="4">
        <f t="shared" ca="1" si="1"/>
        <v>45529</v>
      </c>
      <c r="C230" s="4" t="str">
        <f t="shared" ca="1" si="24"/>
        <v>2024-08</v>
      </c>
      <c r="D230" s="5">
        <f t="shared" ca="1" si="3"/>
        <v>0.24027777777777778</v>
      </c>
      <c r="E230" s="3" t="str" cm="1">
        <f t="array" aca="1" ref="E230" ca="1">INDEX(lista!$A$1:$A$12, RANDBETWEEN(1, 12))</f>
        <v>San Borja Sur</v>
      </c>
      <c r="F230" s="3" t="s">
        <v>24</v>
      </c>
      <c r="G230" s="3" t="str" cm="1">
        <f t="array" aca="1" ref="G230" ca="1">INDEX(lista!$B$1:$B$6, RANDBETWEEN(1, 6))</f>
        <v>MET</v>
      </c>
      <c r="H230" s="3" t="str" cm="1">
        <f t="array" aca="1" ref="H230" ca="1">INDEX(lista!$C$1:$C$4, RANDBETWEEN(1, 4))</f>
        <v>Mantenimiento preventivo</v>
      </c>
      <c r="I230" s="3" t="str">
        <f t="shared" ca="1" si="25"/>
        <v>Media</v>
      </c>
      <c r="J230" s="3" t="str">
        <f t="shared" ca="1" si="26"/>
        <v>Atendida</v>
      </c>
      <c r="K230" s="4">
        <f t="shared" ca="1" si="27"/>
        <v>45529</v>
      </c>
      <c r="L230" s="1">
        <f t="shared" ca="1" si="28"/>
        <v>11</v>
      </c>
      <c r="M230" s="3" t="str">
        <f t="shared" ca="1" si="29"/>
        <v>Telecomunicaciones</v>
      </c>
    </row>
    <row r="231" spans="1:13" x14ac:dyDescent="0.3">
      <c r="A231" s="3">
        <f t="shared" si="23"/>
        <v>230</v>
      </c>
      <c r="B231" s="4">
        <f t="shared" ca="1" si="1"/>
        <v>45572</v>
      </c>
      <c r="C231" s="4" t="str">
        <f t="shared" ca="1" si="24"/>
        <v>2024-10</v>
      </c>
      <c r="D231" s="5">
        <f t="shared" ca="1" si="3"/>
        <v>0.17222222222222222</v>
      </c>
      <c r="E231" s="3" t="str" cm="1">
        <f t="array" aca="1" ref="E231" ca="1">INDEX(lista!$A$1:$A$12, RANDBETWEEN(1, 12))</f>
        <v>Villa El Salvador</v>
      </c>
      <c r="F231" s="3" t="s">
        <v>24</v>
      </c>
      <c r="G231" s="3" t="str" cm="1">
        <f t="array" aca="1" ref="G231" ca="1">INDEX(lista!$B$1:$B$6, RANDBETWEEN(1, 6))</f>
        <v>Torniquete</v>
      </c>
      <c r="H231" s="3" t="str" cm="1">
        <f t="array" aca="1" ref="H231" ca="1">INDEX(lista!$C$1:$C$4, RANDBETWEEN(1, 4))</f>
        <v>Falla eléctrica</v>
      </c>
      <c r="I231" s="3" t="str">
        <f t="shared" ca="1" si="25"/>
        <v>Alta</v>
      </c>
      <c r="J231" s="3" t="str">
        <f t="shared" ca="1" si="26"/>
        <v>Pendiente</v>
      </c>
      <c r="K231" s="4" t="str">
        <f t="shared" ca="1" si="27"/>
        <v/>
      </c>
      <c r="L231" s="1" t="str">
        <f t="shared" ca="1" si="28"/>
        <v/>
      </c>
      <c r="M231" s="3" t="str">
        <f t="shared" ca="1" si="29"/>
        <v>Telecomunicaciones</v>
      </c>
    </row>
    <row r="232" spans="1:13" x14ac:dyDescent="0.3">
      <c r="A232" s="3">
        <f t="shared" si="23"/>
        <v>231</v>
      </c>
      <c r="B232" s="4">
        <f t="shared" ca="1" si="1"/>
        <v>45020</v>
      </c>
      <c r="C232" s="4" t="str">
        <f t="shared" ca="1" si="24"/>
        <v>2023-04</v>
      </c>
      <c r="D232" s="5">
        <f t="shared" ca="1" si="3"/>
        <v>0.10625</v>
      </c>
      <c r="E232" s="3" t="str" cm="1">
        <f t="array" aca="1" ref="E232" ca="1">INDEX(lista!$A$1:$A$12, RANDBETWEEN(1, 12))</f>
        <v>Gamarra</v>
      </c>
      <c r="F232" s="3" t="s">
        <v>24</v>
      </c>
      <c r="G232" s="3" t="str" cm="1">
        <f t="array" aca="1" ref="G232" ca="1">INDEX(lista!$B$1:$B$6, RANDBETWEEN(1, 6))</f>
        <v>MET</v>
      </c>
      <c r="H232" s="3" t="str" cm="1">
        <f t="array" aca="1" ref="H232" ca="1">INDEX(lista!$C$1:$C$4, RANDBETWEEN(1, 4))</f>
        <v>Mantenimiento preventivo</v>
      </c>
      <c r="I232" s="3" t="str">
        <f t="shared" ca="1" si="25"/>
        <v>Media</v>
      </c>
      <c r="J232" s="3" t="str">
        <f t="shared" ca="1" si="26"/>
        <v>Atendida</v>
      </c>
      <c r="K232" s="4">
        <f t="shared" ca="1" si="27"/>
        <v>45021</v>
      </c>
      <c r="L232" s="1">
        <f t="shared" ca="1" si="28"/>
        <v>11</v>
      </c>
      <c r="M232" s="3" t="str">
        <f t="shared" ca="1" si="29"/>
        <v>Telecomunicaciones</v>
      </c>
    </row>
    <row r="233" spans="1:13" x14ac:dyDescent="0.3">
      <c r="A233" s="3">
        <f t="shared" si="23"/>
        <v>232</v>
      </c>
      <c r="B233" s="4">
        <f t="shared" ca="1" si="1"/>
        <v>45441</v>
      </c>
      <c r="C233" s="4" t="str">
        <f t="shared" ca="1" si="24"/>
        <v>2024-05</v>
      </c>
      <c r="D233" s="5">
        <f t="shared" ca="1" si="3"/>
        <v>5.7638888888888885E-2</v>
      </c>
      <c r="E233" s="3" t="str" cm="1">
        <f t="array" aca="1" ref="E233" ca="1">INDEX(lista!$A$1:$A$12, RANDBETWEEN(1, 12))</f>
        <v>Santa Rosa</v>
      </c>
      <c r="F233" s="3" t="s">
        <v>24</v>
      </c>
      <c r="G233" s="3" t="str" cm="1">
        <f t="array" aca="1" ref="G233" ca="1">INDEX(lista!$B$1:$B$6, RANDBETWEEN(1, 6))</f>
        <v>Ascensor</v>
      </c>
      <c r="H233" s="3" t="str" cm="1">
        <f t="array" aca="1" ref="H233" ca="1">INDEX(lista!$C$1:$C$4, RANDBETWEEN(1, 4))</f>
        <v>Daño en infraestructura</v>
      </c>
      <c r="I233" s="3" t="str">
        <f t="shared" ca="1" si="25"/>
        <v>Alta</v>
      </c>
      <c r="J233" s="3" t="str">
        <f t="shared" ca="1" si="26"/>
        <v>En curso</v>
      </c>
      <c r="K233" s="4" t="str">
        <f t="shared" ca="1" si="27"/>
        <v/>
      </c>
      <c r="L233" s="1" t="str">
        <f t="shared" ca="1" si="28"/>
        <v/>
      </c>
      <c r="M233" s="3" t="str">
        <f t="shared" ca="1" si="29"/>
        <v>Mantenimiento</v>
      </c>
    </row>
    <row r="234" spans="1:13" x14ac:dyDescent="0.3">
      <c r="A234" s="3">
        <f t="shared" si="23"/>
        <v>233</v>
      </c>
      <c r="B234" s="4">
        <f t="shared" ca="1" si="1"/>
        <v>45511</v>
      </c>
      <c r="C234" s="4" t="str">
        <f t="shared" ca="1" si="24"/>
        <v>2024-08</v>
      </c>
      <c r="D234" s="5">
        <f t="shared" ca="1" si="3"/>
        <v>0.79097222222222219</v>
      </c>
      <c r="E234" s="3" t="str" cm="1">
        <f t="array" aca="1" ref="E234" ca="1">INDEX(lista!$A$1:$A$12, RANDBETWEEN(1, 12))</f>
        <v>La Cultura</v>
      </c>
      <c r="F234" s="3" t="s">
        <v>24</v>
      </c>
      <c r="G234" s="3" t="str" cm="1">
        <f t="array" aca="1" ref="G234" ca="1">INDEX(lista!$B$1:$B$6, RANDBETWEEN(1, 6))</f>
        <v>TVM</v>
      </c>
      <c r="H234" s="3" t="str" cm="1">
        <f t="array" aca="1" ref="H234" ca="1">INDEX(lista!$C$1:$C$4, RANDBETWEEN(1, 4))</f>
        <v>Daño en infraestructura</v>
      </c>
      <c r="I234" s="3" t="str">
        <f t="shared" ca="1" si="25"/>
        <v>Baja</v>
      </c>
      <c r="J234" s="3" t="str">
        <f t="shared" ca="1" si="26"/>
        <v>En curso</v>
      </c>
      <c r="K234" s="4" t="str">
        <f t="shared" ca="1" si="27"/>
        <v/>
      </c>
      <c r="L234" s="1" t="str">
        <f t="shared" ca="1" si="28"/>
        <v/>
      </c>
      <c r="M234" s="3" t="str">
        <f t="shared" ca="1" si="29"/>
        <v>Telecomunicaciones</v>
      </c>
    </row>
    <row r="235" spans="1:13" x14ac:dyDescent="0.3">
      <c r="A235" s="3">
        <f t="shared" si="23"/>
        <v>234</v>
      </c>
      <c r="B235" s="4">
        <f t="shared" ca="1" si="1"/>
        <v>45063</v>
      </c>
      <c r="C235" s="4" t="str">
        <f t="shared" ca="1" si="24"/>
        <v>2023-05</v>
      </c>
      <c r="D235" s="5">
        <f t="shared" ca="1" si="3"/>
        <v>0.18124999999999999</v>
      </c>
      <c r="E235" s="3" t="str" cm="1">
        <f t="array" aca="1" ref="E235" ca="1">INDEX(lista!$A$1:$A$12, RANDBETWEEN(1, 12))</f>
        <v>Angamos</v>
      </c>
      <c r="F235" s="3" t="s">
        <v>24</v>
      </c>
      <c r="G235" s="3" t="str" cm="1">
        <f t="array" aca="1" ref="G235" ca="1">INDEX(lista!$B$1:$B$6, RANDBETWEEN(1, 6))</f>
        <v>Radio</v>
      </c>
      <c r="H235" s="3" t="str" cm="1">
        <f t="array" aca="1" ref="H235" ca="1">INDEX(lista!$C$1:$C$4, RANDBETWEEN(1, 4))</f>
        <v>Falla mecánica</v>
      </c>
      <c r="I235" s="3" t="str">
        <f t="shared" ca="1" si="25"/>
        <v>Baja</v>
      </c>
      <c r="J235" s="3" t="str">
        <f t="shared" ca="1" si="26"/>
        <v>Atendida</v>
      </c>
      <c r="K235" s="4">
        <f t="shared" ca="1" si="27"/>
        <v>45064</v>
      </c>
      <c r="L235" s="1">
        <f t="shared" ca="1" si="28"/>
        <v>20</v>
      </c>
      <c r="M235" s="3" t="str">
        <f t="shared" ca="1" si="29"/>
        <v>Telecomunicaciones</v>
      </c>
    </row>
    <row r="236" spans="1:13" x14ac:dyDescent="0.3">
      <c r="A236" s="3">
        <f t="shared" si="23"/>
        <v>235</v>
      </c>
      <c r="B236" s="4">
        <f t="shared" ca="1" si="1"/>
        <v>45356</v>
      </c>
      <c r="C236" s="4" t="str">
        <f t="shared" ca="1" si="24"/>
        <v>2024-03</v>
      </c>
      <c r="D236" s="5">
        <f t="shared" ca="1" si="3"/>
        <v>0.55486111111111103</v>
      </c>
      <c r="E236" s="3" t="str" cm="1">
        <f t="array" aca="1" ref="E236" ca="1">INDEX(lista!$A$1:$A$12, RANDBETWEEN(1, 12))</f>
        <v>La Cultura</v>
      </c>
      <c r="F236" s="3" t="s">
        <v>24</v>
      </c>
      <c r="G236" s="3" t="str" cm="1">
        <f t="array" aca="1" ref="G236" ca="1">INDEX(lista!$B$1:$B$6, RANDBETWEEN(1, 6))</f>
        <v>TVM</v>
      </c>
      <c r="H236" s="3" t="str" cm="1">
        <f t="array" aca="1" ref="H236" ca="1">INDEX(lista!$C$1:$C$4, RANDBETWEEN(1, 4))</f>
        <v>Falla mecánica</v>
      </c>
      <c r="I236" s="3" t="str">
        <f t="shared" ca="1" si="25"/>
        <v>Alta</v>
      </c>
      <c r="J236" s="3" t="str">
        <f t="shared" ca="1" si="26"/>
        <v>Atendida</v>
      </c>
      <c r="K236" s="4">
        <f t="shared" ca="1" si="27"/>
        <v>45358</v>
      </c>
      <c r="L236" s="1">
        <f t="shared" ca="1" si="28"/>
        <v>7</v>
      </c>
      <c r="M236" s="3" t="str">
        <f t="shared" ca="1" si="29"/>
        <v>Telecomunicaciones</v>
      </c>
    </row>
    <row r="237" spans="1:13" x14ac:dyDescent="0.3">
      <c r="A237" s="3">
        <f t="shared" si="23"/>
        <v>236</v>
      </c>
      <c r="B237" s="4">
        <f t="shared" ca="1" si="1"/>
        <v>45014</v>
      </c>
      <c r="C237" s="4" t="str">
        <f t="shared" ca="1" si="24"/>
        <v>2023-03</v>
      </c>
      <c r="D237" s="5">
        <f t="shared" ca="1" si="3"/>
        <v>0.9784722222222223</v>
      </c>
      <c r="E237" s="3" t="str" cm="1">
        <f t="array" aca="1" ref="E237" ca="1">INDEX(lista!$A$1:$A$12, RANDBETWEEN(1, 12))</f>
        <v>Atocongo</v>
      </c>
      <c r="F237" s="3" t="s">
        <v>24</v>
      </c>
      <c r="G237" s="3" t="str" cm="1">
        <f t="array" aca="1" ref="G237" ca="1">INDEX(lista!$B$1:$B$6, RANDBETWEEN(1, 6))</f>
        <v>Ascensor</v>
      </c>
      <c r="H237" s="3" t="str" cm="1">
        <f t="array" aca="1" ref="H237" ca="1">INDEX(lista!$C$1:$C$4, RANDBETWEEN(1, 4))</f>
        <v>Falla mecánica</v>
      </c>
      <c r="I237" s="3" t="str">
        <f t="shared" ca="1" si="25"/>
        <v>Alta</v>
      </c>
      <c r="J237" s="3" t="str">
        <f t="shared" ca="1" si="26"/>
        <v>Atendida</v>
      </c>
      <c r="K237" s="4">
        <f t="shared" ca="1" si="27"/>
        <v>45016</v>
      </c>
      <c r="L237" s="1">
        <f t="shared" ca="1" si="28"/>
        <v>6</v>
      </c>
      <c r="M237" s="3" t="str">
        <f t="shared" ca="1" si="29"/>
        <v>Mantenimiento</v>
      </c>
    </row>
    <row r="238" spans="1:13" x14ac:dyDescent="0.3">
      <c r="A238" s="3">
        <f t="shared" si="23"/>
        <v>237</v>
      </c>
      <c r="B238" s="4">
        <f t="shared" ca="1" si="1"/>
        <v>45101</v>
      </c>
      <c r="C238" s="4" t="str">
        <f t="shared" ca="1" si="24"/>
        <v>2023-06</v>
      </c>
      <c r="D238" s="5">
        <f t="shared" ca="1" si="3"/>
        <v>0.12152777777777778</v>
      </c>
      <c r="E238" s="3" t="str" cm="1">
        <f t="array" aca="1" ref="E238" ca="1">INDEX(lista!$A$1:$A$12, RANDBETWEEN(1, 12))</f>
        <v>Villa El Salvador</v>
      </c>
      <c r="F238" s="3" t="s">
        <v>24</v>
      </c>
      <c r="G238" s="3" t="str" cm="1">
        <f t="array" aca="1" ref="G238" ca="1">INDEX(lista!$B$1:$B$6, RANDBETWEEN(1, 6))</f>
        <v>Escalera eléctrica</v>
      </c>
      <c r="H238" s="3" t="str" cm="1">
        <f t="array" aca="1" ref="H238" ca="1">INDEX(lista!$C$1:$C$4, RANDBETWEEN(1, 4))</f>
        <v>Mantenimiento preventivo</v>
      </c>
      <c r="I238" s="3" t="str">
        <f t="shared" ca="1" si="25"/>
        <v>Baja</v>
      </c>
      <c r="J238" s="3" t="str">
        <f t="shared" ca="1" si="26"/>
        <v>Atendida</v>
      </c>
      <c r="K238" s="4">
        <f t="shared" ca="1" si="27"/>
        <v>45102</v>
      </c>
      <c r="L238" s="1">
        <f t="shared" ca="1" si="28"/>
        <v>5</v>
      </c>
      <c r="M238" s="3" t="str">
        <f t="shared" ca="1" si="29"/>
        <v>Mantenimiento</v>
      </c>
    </row>
    <row r="239" spans="1:13" x14ac:dyDescent="0.3">
      <c r="A239" s="3">
        <f t="shared" si="23"/>
        <v>238</v>
      </c>
      <c r="B239" s="4">
        <f t="shared" ca="1" si="1"/>
        <v>45634</v>
      </c>
      <c r="C239" s="4" t="str">
        <f t="shared" ca="1" si="24"/>
        <v>2024-12</v>
      </c>
      <c r="D239" s="5">
        <f t="shared" ca="1" si="3"/>
        <v>0.37291666666666667</v>
      </c>
      <c r="E239" s="3" t="str" cm="1">
        <f t="array" aca="1" ref="E239" ca="1">INDEX(lista!$A$1:$A$12, RANDBETWEEN(1, 12))</f>
        <v>Cabitos</v>
      </c>
      <c r="F239" s="3" t="s">
        <v>24</v>
      </c>
      <c r="G239" s="3" t="str" cm="1">
        <f t="array" aca="1" ref="G239" ca="1">INDEX(lista!$B$1:$B$6, RANDBETWEEN(1, 6))</f>
        <v>Ascensor</v>
      </c>
      <c r="H239" s="3" t="str" cm="1">
        <f t="array" aca="1" ref="H239" ca="1">INDEX(lista!$C$1:$C$4, RANDBETWEEN(1, 4))</f>
        <v>Falla mecánica</v>
      </c>
      <c r="I239" s="3" t="str">
        <f t="shared" ca="1" si="25"/>
        <v>Media</v>
      </c>
      <c r="J239" s="3" t="str">
        <f t="shared" ca="1" si="26"/>
        <v>En curso</v>
      </c>
      <c r="K239" s="4" t="str">
        <f t="shared" ca="1" si="27"/>
        <v/>
      </c>
      <c r="L239" s="1" t="str">
        <f t="shared" ca="1" si="28"/>
        <v/>
      </c>
      <c r="M239" s="3" t="str">
        <f t="shared" ca="1" si="29"/>
        <v>Mantenimiento</v>
      </c>
    </row>
    <row r="240" spans="1:13" x14ac:dyDescent="0.3">
      <c r="A240" s="3">
        <f t="shared" si="23"/>
        <v>239</v>
      </c>
      <c r="B240" s="4">
        <f t="shared" ca="1" si="1"/>
        <v>45270</v>
      </c>
      <c r="C240" s="4" t="str">
        <f t="shared" ca="1" si="24"/>
        <v>2023-12</v>
      </c>
      <c r="D240" s="5">
        <f t="shared" ca="1" si="3"/>
        <v>0.9506944444444444</v>
      </c>
      <c r="E240" s="3" t="str" cm="1">
        <f t="array" aca="1" ref="E240" ca="1">INDEX(lista!$A$1:$A$12, RANDBETWEEN(1, 12))</f>
        <v>Santa Rosa</v>
      </c>
      <c r="F240" s="3" t="s">
        <v>24</v>
      </c>
      <c r="G240" s="3" t="str" cm="1">
        <f t="array" aca="1" ref="G240" ca="1">INDEX(lista!$B$1:$B$6, RANDBETWEEN(1, 6))</f>
        <v>Ascensor</v>
      </c>
      <c r="H240" s="3" t="str" cm="1">
        <f t="array" aca="1" ref="H240" ca="1">INDEX(lista!$C$1:$C$4, RANDBETWEEN(1, 4))</f>
        <v>Mantenimiento preventivo</v>
      </c>
      <c r="I240" s="3" t="str">
        <f t="shared" ca="1" si="25"/>
        <v>Media</v>
      </c>
      <c r="J240" s="3" t="str">
        <f t="shared" ca="1" si="26"/>
        <v>Pendiente</v>
      </c>
      <c r="K240" s="4" t="str">
        <f t="shared" ca="1" si="27"/>
        <v/>
      </c>
      <c r="L240" s="1" t="str">
        <f t="shared" ca="1" si="28"/>
        <v/>
      </c>
      <c r="M240" s="3" t="str">
        <f t="shared" ca="1" si="29"/>
        <v>Mantenimiento</v>
      </c>
    </row>
    <row r="241" spans="1:13" x14ac:dyDescent="0.3">
      <c r="A241" s="3">
        <f t="shared" si="23"/>
        <v>240</v>
      </c>
      <c r="B241" s="4">
        <f t="shared" ca="1" si="1"/>
        <v>45183</v>
      </c>
      <c r="C241" s="4" t="str">
        <f t="shared" ca="1" si="24"/>
        <v>2023-09</v>
      </c>
      <c r="D241" s="5">
        <f t="shared" ca="1" si="3"/>
        <v>0.72152777777777777</v>
      </c>
      <c r="E241" s="3" t="str" cm="1">
        <f t="array" aca="1" ref="E241" ca="1">INDEX(lista!$A$1:$A$12, RANDBETWEEN(1, 12))</f>
        <v>Santa Rosa</v>
      </c>
      <c r="F241" s="3" t="s">
        <v>24</v>
      </c>
      <c r="G241" s="3" t="str" cm="1">
        <f t="array" aca="1" ref="G241" ca="1">INDEX(lista!$B$1:$B$6, RANDBETWEEN(1, 6))</f>
        <v>TVM</v>
      </c>
      <c r="H241" s="3" t="str" cm="1">
        <f t="array" aca="1" ref="H241" ca="1">INDEX(lista!$C$1:$C$4, RANDBETWEEN(1, 4))</f>
        <v>Falla eléctrica</v>
      </c>
      <c r="I241" s="3" t="str">
        <f t="shared" ca="1" si="25"/>
        <v>Alta</v>
      </c>
      <c r="J241" s="3" t="str">
        <f t="shared" ca="1" si="26"/>
        <v>Pendiente</v>
      </c>
      <c r="K241" s="4" t="str">
        <f t="shared" ca="1" si="27"/>
        <v/>
      </c>
      <c r="L241" s="1" t="str">
        <f t="shared" ca="1" si="28"/>
        <v/>
      </c>
      <c r="M241" s="3" t="str">
        <f t="shared" ca="1" si="29"/>
        <v>Telecomunicaciones</v>
      </c>
    </row>
    <row r="242" spans="1:13" x14ac:dyDescent="0.3">
      <c r="A242" s="3">
        <f t="shared" si="23"/>
        <v>241</v>
      </c>
      <c r="B242" s="4">
        <f t="shared" ca="1" si="1"/>
        <v>45309</v>
      </c>
      <c r="C242" s="4" t="str">
        <f t="shared" ca="1" si="24"/>
        <v>2024-01</v>
      </c>
      <c r="D242" s="5">
        <f t="shared" ca="1" si="3"/>
        <v>0.80972222222222223</v>
      </c>
      <c r="E242" s="3" t="str" cm="1">
        <f t="array" aca="1" ref="E242" ca="1">INDEX(lista!$A$1:$A$12, RANDBETWEEN(1, 12))</f>
        <v>Ayacucho</v>
      </c>
      <c r="F242" s="3" t="s">
        <v>24</v>
      </c>
      <c r="G242" s="3" t="str" cm="1">
        <f t="array" aca="1" ref="G242" ca="1">INDEX(lista!$B$1:$B$6, RANDBETWEEN(1, 6))</f>
        <v>Ascensor</v>
      </c>
      <c r="H242" s="3" t="str" cm="1">
        <f t="array" aca="1" ref="H242" ca="1">INDEX(lista!$C$1:$C$4, RANDBETWEEN(1, 4))</f>
        <v>Mantenimiento preventivo</v>
      </c>
      <c r="I242" s="3" t="str">
        <f t="shared" ca="1" si="25"/>
        <v>Baja</v>
      </c>
      <c r="J242" s="3" t="str">
        <f t="shared" ca="1" si="26"/>
        <v>Pendiente</v>
      </c>
      <c r="K242" s="4" t="str">
        <f t="shared" ca="1" si="27"/>
        <v/>
      </c>
      <c r="L242" s="1" t="str">
        <f t="shared" ca="1" si="28"/>
        <v/>
      </c>
      <c r="M242" s="3" t="str">
        <f t="shared" ca="1" si="29"/>
        <v>Mantenimiento</v>
      </c>
    </row>
    <row r="243" spans="1:13" x14ac:dyDescent="0.3">
      <c r="A243" s="3">
        <f t="shared" si="23"/>
        <v>242</v>
      </c>
      <c r="B243" s="4">
        <f t="shared" ca="1" si="1"/>
        <v>44951</v>
      </c>
      <c r="C243" s="4" t="str">
        <f t="shared" ca="1" si="24"/>
        <v>2023-01</v>
      </c>
      <c r="D243" s="5">
        <f t="shared" ca="1" si="3"/>
        <v>0.3263888888888889</v>
      </c>
      <c r="E243" s="3" t="str" cm="1">
        <f t="array" aca="1" ref="E243" ca="1">INDEX(lista!$A$1:$A$12, RANDBETWEEN(1, 12))</f>
        <v>La Cultura</v>
      </c>
      <c r="F243" s="3" t="s">
        <v>24</v>
      </c>
      <c r="G243" s="3" t="str" cm="1">
        <f t="array" aca="1" ref="G243" ca="1">INDEX(lista!$B$1:$B$6, RANDBETWEEN(1, 6))</f>
        <v>TVM</v>
      </c>
      <c r="H243" s="3" t="str" cm="1">
        <f t="array" aca="1" ref="H243" ca="1">INDEX(lista!$C$1:$C$4, RANDBETWEEN(1, 4))</f>
        <v>Falla eléctrica</v>
      </c>
      <c r="I243" s="3" t="str">
        <f t="shared" ca="1" si="25"/>
        <v>Alta</v>
      </c>
      <c r="J243" s="3" t="str">
        <f t="shared" ca="1" si="26"/>
        <v>Atendida</v>
      </c>
      <c r="K243" s="4">
        <f t="shared" ca="1" si="27"/>
        <v>44952</v>
      </c>
      <c r="L243" s="1">
        <f t="shared" ca="1" si="28"/>
        <v>23</v>
      </c>
      <c r="M243" s="3" t="str">
        <f t="shared" ca="1" si="29"/>
        <v>Telecomunicaciones</v>
      </c>
    </row>
    <row r="244" spans="1:13" x14ac:dyDescent="0.3">
      <c r="A244" s="3">
        <f t="shared" si="23"/>
        <v>243</v>
      </c>
      <c r="B244" s="4">
        <f t="shared" ca="1" si="1"/>
        <v>45306</v>
      </c>
      <c r="C244" s="4" t="str">
        <f t="shared" ca="1" si="24"/>
        <v>2024-01</v>
      </c>
      <c r="D244" s="5">
        <f t="shared" ca="1" si="3"/>
        <v>0.46875</v>
      </c>
      <c r="E244" s="3" t="str" cm="1">
        <f t="array" aca="1" ref="E244" ca="1">INDEX(lista!$A$1:$A$12, RANDBETWEEN(1, 12))</f>
        <v>San Carlos</v>
      </c>
      <c r="F244" s="3" t="s">
        <v>24</v>
      </c>
      <c r="G244" s="3" t="str" cm="1">
        <f t="array" aca="1" ref="G244" ca="1">INDEX(lista!$B$1:$B$6, RANDBETWEEN(1, 6))</f>
        <v>Ascensor</v>
      </c>
      <c r="H244" s="3" t="str" cm="1">
        <f t="array" aca="1" ref="H244" ca="1">INDEX(lista!$C$1:$C$4, RANDBETWEEN(1, 4))</f>
        <v>Daño en infraestructura</v>
      </c>
      <c r="I244" s="3" t="str">
        <f t="shared" ca="1" si="25"/>
        <v>Alta</v>
      </c>
      <c r="J244" s="3" t="str">
        <f t="shared" ca="1" si="26"/>
        <v>Pendiente</v>
      </c>
      <c r="K244" s="4" t="str">
        <f t="shared" ca="1" si="27"/>
        <v/>
      </c>
      <c r="L244" s="1" t="str">
        <f t="shared" ca="1" si="28"/>
        <v/>
      </c>
      <c r="M244" s="3" t="str">
        <f t="shared" ca="1" si="29"/>
        <v>Mantenimiento</v>
      </c>
    </row>
    <row r="245" spans="1:13" x14ac:dyDescent="0.3">
      <c r="A245" s="3">
        <f t="shared" si="23"/>
        <v>244</v>
      </c>
      <c r="B245" s="4">
        <f t="shared" ca="1" si="1"/>
        <v>45341</v>
      </c>
      <c r="C245" s="4" t="str">
        <f t="shared" ca="1" si="24"/>
        <v>2024-02</v>
      </c>
      <c r="D245" s="5">
        <f t="shared" ca="1" si="3"/>
        <v>0.24305555555555558</v>
      </c>
      <c r="E245" s="3" t="str" cm="1">
        <f t="array" aca="1" ref="E245" ca="1">INDEX(lista!$A$1:$A$12, RANDBETWEEN(1, 12))</f>
        <v>Atocongo</v>
      </c>
      <c r="F245" s="3" t="s">
        <v>24</v>
      </c>
      <c r="G245" s="3" t="str" cm="1">
        <f t="array" aca="1" ref="G245" ca="1">INDEX(lista!$B$1:$B$6, RANDBETWEEN(1, 6))</f>
        <v>Ascensor</v>
      </c>
      <c r="H245" s="3" t="str" cm="1">
        <f t="array" aca="1" ref="H245" ca="1">INDEX(lista!$C$1:$C$4, RANDBETWEEN(1, 4))</f>
        <v>Falla mecánica</v>
      </c>
      <c r="I245" s="3" t="str">
        <f t="shared" ca="1" si="25"/>
        <v>Baja</v>
      </c>
      <c r="J245" s="3" t="str">
        <f t="shared" ca="1" si="26"/>
        <v>Atendida</v>
      </c>
      <c r="K245" s="4">
        <f t="shared" ca="1" si="27"/>
        <v>45343</v>
      </c>
      <c r="L245" s="1">
        <f t="shared" ca="1" si="28"/>
        <v>4</v>
      </c>
      <c r="M245" s="3" t="str">
        <f t="shared" ca="1" si="29"/>
        <v>Mantenimiento</v>
      </c>
    </row>
    <row r="246" spans="1:13" x14ac:dyDescent="0.3">
      <c r="A246" s="3">
        <f t="shared" si="23"/>
        <v>245</v>
      </c>
      <c r="B246" s="4">
        <f t="shared" ca="1" si="1"/>
        <v>45473</v>
      </c>
      <c r="C246" s="4" t="str">
        <f t="shared" ca="1" si="24"/>
        <v>2024-06</v>
      </c>
      <c r="D246" s="5">
        <f t="shared" ca="1" si="3"/>
        <v>0.26111111111111113</v>
      </c>
      <c r="E246" s="3" t="str" cm="1">
        <f t="array" aca="1" ref="E246" ca="1">INDEX(lista!$A$1:$A$12, RANDBETWEEN(1, 12))</f>
        <v>Gamarra</v>
      </c>
      <c r="F246" s="3" t="s">
        <v>24</v>
      </c>
      <c r="G246" s="3" t="str" cm="1">
        <f t="array" aca="1" ref="G246" ca="1">INDEX(lista!$B$1:$B$6, RANDBETWEEN(1, 6))</f>
        <v>Radio</v>
      </c>
      <c r="H246" s="3" t="str" cm="1">
        <f t="array" aca="1" ref="H246" ca="1">INDEX(lista!$C$1:$C$4, RANDBETWEEN(1, 4))</f>
        <v>Falla eléctrica</v>
      </c>
      <c r="I246" s="3" t="str">
        <f t="shared" ca="1" si="25"/>
        <v>Alta</v>
      </c>
      <c r="J246" s="3" t="str">
        <f t="shared" ca="1" si="26"/>
        <v>En curso</v>
      </c>
      <c r="K246" s="4" t="str">
        <f t="shared" ca="1" si="27"/>
        <v/>
      </c>
      <c r="L246" s="1" t="str">
        <f t="shared" ca="1" si="28"/>
        <v/>
      </c>
      <c r="M246" s="3" t="str">
        <f t="shared" ca="1" si="29"/>
        <v>Telecomunicaciones</v>
      </c>
    </row>
    <row r="247" spans="1:13" x14ac:dyDescent="0.3">
      <c r="A247" s="3">
        <f t="shared" si="23"/>
        <v>246</v>
      </c>
      <c r="B247" s="4">
        <f t="shared" ca="1" si="1"/>
        <v>45023</v>
      </c>
      <c r="C247" s="4" t="str">
        <f t="shared" ca="1" si="24"/>
        <v>2023-04</v>
      </c>
      <c r="D247" s="5">
        <f t="shared" ca="1" si="3"/>
        <v>0.79166666666666663</v>
      </c>
      <c r="E247" s="3" t="str" cm="1">
        <f t="array" aca="1" ref="E247" ca="1">INDEX(lista!$A$1:$A$12, RANDBETWEEN(1, 12))</f>
        <v>Santa Rosa</v>
      </c>
      <c r="F247" s="3" t="s">
        <v>24</v>
      </c>
      <c r="G247" s="3" t="str" cm="1">
        <f t="array" aca="1" ref="G247" ca="1">INDEX(lista!$B$1:$B$6, RANDBETWEEN(1, 6))</f>
        <v>Torniquete</v>
      </c>
      <c r="H247" s="3" t="str" cm="1">
        <f t="array" aca="1" ref="H247" ca="1">INDEX(lista!$C$1:$C$4, RANDBETWEEN(1, 4))</f>
        <v>Falla eléctrica</v>
      </c>
      <c r="I247" s="3" t="str">
        <f t="shared" ca="1" si="25"/>
        <v>Baja</v>
      </c>
      <c r="J247" s="3" t="str">
        <f t="shared" ca="1" si="26"/>
        <v>Atendida</v>
      </c>
      <c r="K247" s="4">
        <f t="shared" ca="1" si="27"/>
        <v>45024</v>
      </c>
      <c r="L247" s="1">
        <f t="shared" ca="1" si="28"/>
        <v>22</v>
      </c>
      <c r="M247" s="3" t="str">
        <f t="shared" ca="1" si="29"/>
        <v>Telecomunicaciones</v>
      </c>
    </row>
    <row r="248" spans="1:13" x14ac:dyDescent="0.3">
      <c r="A248" s="3">
        <f t="shared" si="23"/>
        <v>247</v>
      </c>
      <c r="B248" s="4">
        <f t="shared" ca="1" si="1"/>
        <v>45208</v>
      </c>
      <c r="C248" s="4" t="str">
        <f t="shared" ca="1" si="24"/>
        <v>2023-10</v>
      </c>
      <c r="D248" s="5">
        <f t="shared" ca="1" si="3"/>
        <v>4.9999999999999996E-2</v>
      </c>
      <c r="E248" s="3" t="str" cm="1">
        <f t="array" aca="1" ref="E248" ca="1">INDEX(lista!$A$1:$A$12, RANDBETWEEN(1, 12))</f>
        <v>San Carlos</v>
      </c>
      <c r="F248" s="3" t="s">
        <v>24</v>
      </c>
      <c r="G248" s="3" t="str" cm="1">
        <f t="array" aca="1" ref="G248" ca="1">INDEX(lista!$B$1:$B$6, RANDBETWEEN(1, 6))</f>
        <v>MET</v>
      </c>
      <c r="H248" s="3" t="str" cm="1">
        <f t="array" aca="1" ref="H248" ca="1">INDEX(lista!$C$1:$C$4, RANDBETWEEN(1, 4))</f>
        <v>Falla eléctrica</v>
      </c>
      <c r="I248" s="3" t="str">
        <f t="shared" ca="1" si="25"/>
        <v>Media</v>
      </c>
      <c r="J248" s="3" t="str">
        <f t="shared" ca="1" si="26"/>
        <v>Atendida</v>
      </c>
      <c r="K248" s="4">
        <f t="shared" ca="1" si="27"/>
        <v>45210</v>
      </c>
      <c r="L248" s="1">
        <f t="shared" ca="1" si="28"/>
        <v>13</v>
      </c>
      <c r="M248" s="3" t="str">
        <f t="shared" ca="1" si="29"/>
        <v>Telecomunicaciones</v>
      </c>
    </row>
    <row r="249" spans="1:13" x14ac:dyDescent="0.3">
      <c r="A249" s="3">
        <f t="shared" si="23"/>
        <v>248</v>
      </c>
      <c r="B249" s="4">
        <f t="shared" ca="1" si="1"/>
        <v>45062</v>
      </c>
      <c r="C249" s="4" t="str">
        <f t="shared" ca="1" si="24"/>
        <v>2023-05</v>
      </c>
      <c r="D249" s="5">
        <f t="shared" ca="1" si="3"/>
        <v>0.50138888888888888</v>
      </c>
      <c r="E249" s="3" t="str" cm="1">
        <f t="array" aca="1" ref="E249" ca="1">INDEX(lista!$A$1:$A$12, RANDBETWEEN(1, 12))</f>
        <v>Santa Rosa</v>
      </c>
      <c r="F249" s="3" t="s">
        <v>24</v>
      </c>
      <c r="G249" s="3" t="str" cm="1">
        <f t="array" aca="1" ref="G249" ca="1">INDEX(lista!$B$1:$B$6, RANDBETWEEN(1, 6))</f>
        <v>Ascensor</v>
      </c>
      <c r="H249" s="3" t="str" cm="1">
        <f t="array" aca="1" ref="H249" ca="1">INDEX(lista!$C$1:$C$4, RANDBETWEEN(1, 4))</f>
        <v>Mantenimiento preventivo</v>
      </c>
      <c r="I249" s="3" t="str">
        <f t="shared" ca="1" si="25"/>
        <v>Media</v>
      </c>
      <c r="J249" s="3" t="str">
        <f t="shared" ca="1" si="26"/>
        <v>Atendida</v>
      </c>
      <c r="K249" s="4">
        <f t="shared" ca="1" si="27"/>
        <v>45064</v>
      </c>
      <c r="L249" s="1">
        <f t="shared" ca="1" si="28"/>
        <v>24</v>
      </c>
      <c r="M249" s="3" t="str">
        <f t="shared" ca="1" si="29"/>
        <v>Mantenimiento</v>
      </c>
    </row>
    <row r="250" spans="1:13" x14ac:dyDescent="0.3">
      <c r="A250" s="3">
        <f t="shared" si="23"/>
        <v>249</v>
      </c>
      <c r="B250" s="4">
        <f t="shared" ca="1" si="1"/>
        <v>45164</v>
      </c>
      <c r="C250" s="4" t="str">
        <f t="shared" ca="1" si="24"/>
        <v>2023-08</v>
      </c>
      <c r="D250" s="5">
        <f t="shared" ca="1" si="3"/>
        <v>6.9444444444444441E-3</v>
      </c>
      <c r="E250" s="3" t="str" cm="1">
        <f t="array" aca="1" ref="E250" ca="1">INDEX(lista!$A$1:$A$12, RANDBETWEEN(1, 12))</f>
        <v>Pumacahua</v>
      </c>
      <c r="F250" s="3" t="s">
        <v>24</v>
      </c>
      <c r="G250" s="3" t="str" cm="1">
        <f t="array" aca="1" ref="G250" ca="1">INDEX(lista!$B$1:$B$6, RANDBETWEEN(1, 6))</f>
        <v>MET</v>
      </c>
      <c r="H250" s="3" t="str" cm="1">
        <f t="array" aca="1" ref="H250" ca="1">INDEX(lista!$C$1:$C$4, RANDBETWEEN(1, 4))</f>
        <v>Falla eléctrica</v>
      </c>
      <c r="I250" s="3" t="str">
        <f t="shared" ca="1" si="25"/>
        <v>Baja</v>
      </c>
      <c r="J250" s="3" t="str">
        <f t="shared" ca="1" si="26"/>
        <v>Atendida</v>
      </c>
      <c r="K250" s="4">
        <f t="shared" ca="1" si="27"/>
        <v>45166</v>
      </c>
      <c r="L250" s="1">
        <f t="shared" ca="1" si="28"/>
        <v>13</v>
      </c>
      <c r="M250" s="3" t="str">
        <f t="shared" ca="1" si="29"/>
        <v>Telecomunicaciones</v>
      </c>
    </row>
    <row r="251" spans="1:13" x14ac:dyDescent="0.3">
      <c r="A251" s="3">
        <f t="shared" si="23"/>
        <v>250</v>
      </c>
      <c r="B251" s="4">
        <f t="shared" ca="1" si="1"/>
        <v>45146</v>
      </c>
      <c r="C251" s="4" t="str">
        <f t="shared" ca="1" si="24"/>
        <v>2023-08</v>
      </c>
      <c r="D251" s="5">
        <f t="shared" ca="1" si="3"/>
        <v>0.125</v>
      </c>
      <c r="E251" s="3" t="str" cm="1">
        <f t="array" aca="1" ref="E251" ca="1">INDEX(lista!$A$1:$A$12, RANDBETWEEN(1, 12))</f>
        <v>Villa El Salvador</v>
      </c>
      <c r="F251" s="3" t="s">
        <v>24</v>
      </c>
      <c r="G251" s="3" t="str" cm="1">
        <f t="array" aca="1" ref="G251" ca="1">INDEX(lista!$B$1:$B$6, RANDBETWEEN(1, 6))</f>
        <v>Escalera eléctrica</v>
      </c>
      <c r="H251" s="3" t="str" cm="1">
        <f t="array" aca="1" ref="H251" ca="1">INDEX(lista!$C$1:$C$4, RANDBETWEEN(1, 4))</f>
        <v>Falla eléctrica</v>
      </c>
      <c r="I251" s="3" t="str">
        <f t="shared" ca="1" si="25"/>
        <v>Alta</v>
      </c>
      <c r="J251" s="3" t="str">
        <f t="shared" ca="1" si="26"/>
        <v>Atendida</v>
      </c>
      <c r="K251" s="4">
        <f t="shared" ca="1" si="27"/>
        <v>45146</v>
      </c>
      <c r="L251" s="1">
        <f t="shared" ca="1" si="28"/>
        <v>15</v>
      </c>
      <c r="M251" s="3" t="str">
        <f t="shared" ca="1" si="29"/>
        <v>Mantenimiento</v>
      </c>
    </row>
    <row r="252" spans="1:13" x14ac:dyDescent="0.3">
      <c r="A252" s="3">
        <f t="shared" si="23"/>
        <v>251</v>
      </c>
      <c r="B252" s="4">
        <f t="shared" ca="1" si="1"/>
        <v>45015</v>
      </c>
      <c r="C252" s="4" t="str">
        <f t="shared" ca="1" si="24"/>
        <v>2023-03</v>
      </c>
      <c r="D252" s="5">
        <f t="shared" ca="1" si="3"/>
        <v>5.9027777777777776E-2</v>
      </c>
      <c r="E252" s="3" t="str" cm="1">
        <f t="array" aca="1" ref="E252" ca="1">INDEX(lista!$A$1:$A$12, RANDBETWEEN(1, 12))</f>
        <v>Villa El Salvador</v>
      </c>
      <c r="F252" s="3" t="s">
        <v>24</v>
      </c>
      <c r="G252" s="3" t="str" cm="1">
        <f t="array" aca="1" ref="G252" ca="1">INDEX(lista!$B$1:$B$6, RANDBETWEEN(1, 6))</f>
        <v>Torniquete</v>
      </c>
      <c r="H252" s="3" t="str" cm="1">
        <f t="array" aca="1" ref="H252" ca="1">INDEX(lista!$C$1:$C$4, RANDBETWEEN(1, 4))</f>
        <v>Mantenimiento preventivo</v>
      </c>
      <c r="I252" s="3" t="str">
        <f t="shared" ca="1" si="25"/>
        <v>Media</v>
      </c>
      <c r="J252" s="3" t="str">
        <f t="shared" ca="1" si="26"/>
        <v>Atendida</v>
      </c>
      <c r="K252" s="4">
        <f t="shared" ca="1" si="27"/>
        <v>45017</v>
      </c>
      <c r="L252" s="1">
        <f t="shared" ca="1" si="28"/>
        <v>22</v>
      </c>
      <c r="M252" s="3" t="str">
        <f t="shared" ca="1" si="29"/>
        <v>Telecomunicaciones</v>
      </c>
    </row>
    <row r="253" spans="1:13" x14ac:dyDescent="0.3">
      <c r="A253" s="3">
        <f t="shared" si="23"/>
        <v>252</v>
      </c>
      <c r="B253" s="4">
        <f t="shared" ca="1" si="1"/>
        <v>45106</v>
      </c>
      <c r="C253" s="4" t="str">
        <f t="shared" ca="1" si="24"/>
        <v>2023-06</v>
      </c>
      <c r="D253" s="5">
        <f t="shared" ca="1" si="3"/>
        <v>3.2638888888888891E-2</v>
      </c>
      <c r="E253" s="3" t="str" cm="1">
        <f t="array" aca="1" ref="E253" ca="1">INDEX(lista!$A$1:$A$12, RANDBETWEEN(1, 12))</f>
        <v>San Carlos</v>
      </c>
      <c r="F253" s="3" t="s">
        <v>24</v>
      </c>
      <c r="G253" s="3" t="str" cm="1">
        <f t="array" aca="1" ref="G253" ca="1">INDEX(lista!$B$1:$B$6, RANDBETWEEN(1, 6))</f>
        <v>MET</v>
      </c>
      <c r="H253" s="3" t="str" cm="1">
        <f t="array" aca="1" ref="H253" ca="1">INDEX(lista!$C$1:$C$4, RANDBETWEEN(1, 4))</f>
        <v>Daño en infraestructura</v>
      </c>
      <c r="I253" s="3" t="str">
        <f t="shared" ca="1" si="25"/>
        <v>Baja</v>
      </c>
      <c r="J253" s="3" t="str">
        <f t="shared" ca="1" si="26"/>
        <v>Atendida</v>
      </c>
      <c r="K253" s="4">
        <f t="shared" ca="1" si="27"/>
        <v>45106</v>
      </c>
      <c r="L253" s="1">
        <f t="shared" ca="1" si="28"/>
        <v>8</v>
      </c>
      <c r="M253" s="3" t="str">
        <f t="shared" ca="1" si="29"/>
        <v>Telecomunicaciones</v>
      </c>
    </row>
    <row r="254" spans="1:13" x14ac:dyDescent="0.3">
      <c r="A254" s="3">
        <f t="shared" si="23"/>
        <v>253</v>
      </c>
      <c r="B254" s="4">
        <f t="shared" ca="1" si="1"/>
        <v>45537</v>
      </c>
      <c r="C254" s="4" t="str">
        <f t="shared" ca="1" si="24"/>
        <v>2024-09</v>
      </c>
      <c r="D254" s="5">
        <f t="shared" ca="1" si="3"/>
        <v>0.30972222222222223</v>
      </c>
      <c r="E254" s="3" t="str" cm="1">
        <f t="array" aca="1" ref="E254" ca="1">INDEX(lista!$A$1:$A$12, RANDBETWEEN(1, 12))</f>
        <v>Ayacucho</v>
      </c>
      <c r="F254" s="3" t="s">
        <v>24</v>
      </c>
      <c r="G254" s="3" t="str" cm="1">
        <f t="array" aca="1" ref="G254" ca="1">INDEX(lista!$B$1:$B$6, RANDBETWEEN(1, 6))</f>
        <v>MET</v>
      </c>
      <c r="H254" s="3" t="str" cm="1">
        <f t="array" aca="1" ref="H254" ca="1">INDEX(lista!$C$1:$C$4, RANDBETWEEN(1, 4))</f>
        <v>Falla eléctrica</v>
      </c>
      <c r="I254" s="3" t="str">
        <f t="shared" ca="1" si="25"/>
        <v>Media</v>
      </c>
      <c r="J254" s="3" t="str">
        <f t="shared" ca="1" si="26"/>
        <v>Atendida</v>
      </c>
      <c r="K254" s="4">
        <f t="shared" ca="1" si="27"/>
        <v>45537</v>
      </c>
      <c r="L254" s="1">
        <f t="shared" ca="1" si="28"/>
        <v>17</v>
      </c>
      <c r="M254" s="3" t="str">
        <f t="shared" ca="1" si="29"/>
        <v>Telecomunicaciones</v>
      </c>
    </row>
    <row r="255" spans="1:13" x14ac:dyDescent="0.3">
      <c r="A255" s="3">
        <f t="shared" si="23"/>
        <v>254</v>
      </c>
      <c r="B255" s="4">
        <f t="shared" ca="1" si="1"/>
        <v>45046</v>
      </c>
      <c r="C255" s="4" t="str">
        <f t="shared" ca="1" si="24"/>
        <v>2023-04</v>
      </c>
      <c r="D255" s="5">
        <f t="shared" ca="1" si="3"/>
        <v>0.26250000000000001</v>
      </c>
      <c r="E255" s="3" t="str" cm="1">
        <f t="array" aca="1" ref="E255" ca="1">INDEX(lista!$A$1:$A$12, RANDBETWEEN(1, 12))</f>
        <v>Atocongo</v>
      </c>
      <c r="F255" s="3" t="s">
        <v>24</v>
      </c>
      <c r="G255" s="3" t="str" cm="1">
        <f t="array" aca="1" ref="G255" ca="1">INDEX(lista!$B$1:$B$6, RANDBETWEEN(1, 6))</f>
        <v>Escalera eléctrica</v>
      </c>
      <c r="H255" s="3" t="str" cm="1">
        <f t="array" aca="1" ref="H255" ca="1">INDEX(lista!$C$1:$C$4, RANDBETWEEN(1, 4))</f>
        <v>Falla mecánica</v>
      </c>
      <c r="I255" s="3" t="str">
        <f t="shared" ca="1" si="25"/>
        <v>Media</v>
      </c>
      <c r="J255" s="3" t="str">
        <f t="shared" ca="1" si="26"/>
        <v>Pendiente</v>
      </c>
      <c r="K255" s="4" t="str">
        <f t="shared" ca="1" si="27"/>
        <v/>
      </c>
      <c r="L255" s="1" t="str">
        <f t="shared" ca="1" si="28"/>
        <v/>
      </c>
      <c r="M255" s="3" t="str">
        <f t="shared" ca="1" si="29"/>
        <v>Mantenimiento</v>
      </c>
    </row>
    <row r="256" spans="1:13" x14ac:dyDescent="0.3">
      <c r="A256" s="3">
        <f t="shared" si="23"/>
        <v>255</v>
      </c>
      <c r="B256" s="4">
        <f t="shared" ca="1" si="1"/>
        <v>45053</v>
      </c>
      <c r="C256" s="4" t="str">
        <f t="shared" ca="1" si="24"/>
        <v>2023-05</v>
      </c>
      <c r="D256" s="5">
        <f t="shared" ca="1" si="3"/>
        <v>0.84930555555555554</v>
      </c>
      <c r="E256" s="3" t="str" cm="1">
        <f t="array" aca="1" ref="E256" ca="1">INDEX(lista!$A$1:$A$12, RANDBETWEEN(1, 12))</f>
        <v>San Borja Sur</v>
      </c>
      <c r="F256" s="3" t="s">
        <v>24</v>
      </c>
      <c r="G256" s="3" t="str" cm="1">
        <f t="array" aca="1" ref="G256" ca="1">INDEX(lista!$B$1:$B$6, RANDBETWEEN(1, 6))</f>
        <v>Escalera eléctrica</v>
      </c>
      <c r="H256" s="3" t="str" cm="1">
        <f t="array" aca="1" ref="H256" ca="1">INDEX(lista!$C$1:$C$4, RANDBETWEEN(1, 4))</f>
        <v>Falla mecánica</v>
      </c>
      <c r="I256" s="3" t="str">
        <f t="shared" ca="1" si="25"/>
        <v>Alta</v>
      </c>
      <c r="J256" s="3" t="str">
        <f t="shared" ca="1" si="26"/>
        <v>Atendida</v>
      </c>
      <c r="K256" s="4">
        <f t="shared" ca="1" si="27"/>
        <v>45053</v>
      </c>
      <c r="L256" s="1">
        <f t="shared" ca="1" si="28"/>
        <v>3</v>
      </c>
      <c r="M256" s="3" t="str">
        <f t="shared" ca="1" si="29"/>
        <v>Mantenimiento</v>
      </c>
    </row>
    <row r="257" spans="1:13" x14ac:dyDescent="0.3">
      <c r="A257" s="3">
        <f t="shared" si="23"/>
        <v>256</v>
      </c>
      <c r="B257" s="4">
        <f t="shared" ca="1" si="1"/>
        <v>45398</v>
      </c>
      <c r="C257" s="4" t="str">
        <f t="shared" ca="1" si="24"/>
        <v>2024-04</v>
      </c>
      <c r="D257" s="5">
        <f t="shared" ca="1" si="3"/>
        <v>0.40416666666666667</v>
      </c>
      <c r="E257" s="3" t="str" cm="1">
        <f t="array" aca="1" ref="E257" ca="1">INDEX(lista!$A$1:$A$12, RANDBETWEEN(1, 12))</f>
        <v>Bayóvar</v>
      </c>
      <c r="F257" s="3" t="s">
        <v>24</v>
      </c>
      <c r="G257" s="3" t="str" cm="1">
        <f t="array" aca="1" ref="G257" ca="1">INDEX(lista!$B$1:$B$6, RANDBETWEEN(1, 6))</f>
        <v>MET</v>
      </c>
      <c r="H257" s="3" t="str" cm="1">
        <f t="array" aca="1" ref="H257" ca="1">INDEX(lista!$C$1:$C$4, RANDBETWEEN(1, 4))</f>
        <v>Mantenimiento preventivo</v>
      </c>
      <c r="I257" s="3" t="str">
        <f t="shared" ca="1" si="25"/>
        <v>Alta</v>
      </c>
      <c r="J257" s="3" t="str">
        <f t="shared" ca="1" si="26"/>
        <v>Atendida</v>
      </c>
      <c r="K257" s="4">
        <f t="shared" ca="1" si="27"/>
        <v>45400</v>
      </c>
      <c r="L257" s="1">
        <f t="shared" ca="1" si="28"/>
        <v>19</v>
      </c>
      <c r="M257" s="3" t="str">
        <f t="shared" ca="1" si="29"/>
        <v>Telecomunicaciones</v>
      </c>
    </row>
    <row r="258" spans="1:13" x14ac:dyDescent="0.3">
      <c r="A258" s="3">
        <f t="shared" si="23"/>
        <v>257</v>
      </c>
      <c r="B258" s="4">
        <f t="shared" ref="B258:B321" ca="1" si="30">DATE(2023,1,1)+RANDBETWEEN(0,730)</f>
        <v>45546</v>
      </c>
      <c r="C258" s="4" t="str">
        <f t="shared" ca="1" si="24"/>
        <v>2024-09</v>
      </c>
      <c r="D258" s="5">
        <f t="shared" ref="D258:D321" ca="1" si="31">RANDBETWEEN(0,23)/24 + RANDBETWEEN(0,59)/1440</f>
        <v>0.88194444444444442</v>
      </c>
      <c r="E258" s="3" t="str" cm="1">
        <f t="array" aca="1" ref="E258" ca="1">INDEX(lista!$A$1:$A$12, RANDBETWEEN(1, 12))</f>
        <v>Villa El Salvador</v>
      </c>
      <c r="F258" s="3" t="s">
        <v>24</v>
      </c>
      <c r="G258" s="3" t="str" cm="1">
        <f t="array" aca="1" ref="G258" ca="1">INDEX(lista!$B$1:$B$6, RANDBETWEEN(1, 6))</f>
        <v>Torniquete</v>
      </c>
      <c r="H258" s="3" t="str" cm="1">
        <f t="array" aca="1" ref="H258" ca="1">INDEX(lista!$C$1:$C$4, RANDBETWEEN(1, 4))</f>
        <v>Daño en infraestructura</v>
      </c>
      <c r="I258" s="3" t="str">
        <f t="shared" ca="1" si="25"/>
        <v>Media</v>
      </c>
      <c r="J258" s="3" t="str">
        <f t="shared" ca="1" si="26"/>
        <v>Atendida</v>
      </c>
      <c r="K258" s="4">
        <f t="shared" ca="1" si="27"/>
        <v>45548</v>
      </c>
      <c r="L258" s="1">
        <f t="shared" ca="1" si="28"/>
        <v>21</v>
      </c>
      <c r="M258" s="3" t="str">
        <f t="shared" ca="1" si="29"/>
        <v>Telecomunicaciones</v>
      </c>
    </row>
    <row r="259" spans="1:13" x14ac:dyDescent="0.3">
      <c r="A259" s="3">
        <f t="shared" ref="A259:A322" si="32">ROW()-1</f>
        <v>258</v>
      </c>
      <c r="B259" s="4">
        <f t="shared" ca="1" si="30"/>
        <v>45375</v>
      </c>
      <c r="C259" s="4" t="str">
        <f t="shared" ref="C259:C322" ca="1" si="33">TEXT(B259,"yyyy-mm")</f>
        <v>2024-03</v>
      </c>
      <c r="D259" s="5">
        <f t="shared" ca="1" si="31"/>
        <v>6.4583333333333326E-2</v>
      </c>
      <c r="E259" s="3" t="str" cm="1">
        <f t="array" aca="1" ref="E259" ca="1">INDEX(lista!$A$1:$A$12, RANDBETWEEN(1, 12))</f>
        <v>Bayóvar</v>
      </c>
      <c r="F259" s="3" t="s">
        <v>24</v>
      </c>
      <c r="G259" s="3" t="str" cm="1">
        <f t="array" aca="1" ref="G259" ca="1">INDEX(lista!$B$1:$B$6, RANDBETWEEN(1, 6))</f>
        <v>Escalera eléctrica</v>
      </c>
      <c r="H259" s="3" t="str" cm="1">
        <f t="array" aca="1" ref="H259" ca="1">INDEX(lista!$C$1:$C$4, RANDBETWEEN(1, 4))</f>
        <v>Falla eléctrica</v>
      </c>
      <c r="I259" s="3" t="str">
        <f t="shared" ref="I259:I322" ca="1" si="34">CHOOSE(RANDBETWEEN(1,10),"Baja","Baja","Baja","Media","Media","Media","Media","Alta","Alta","Alta")</f>
        <v>Baja</v>
      </c>
      <c r="J259" s="3" t="str">
        <f t="shared" ref="J259:J322" ca="1" si="35">CHOOSE(RANDBETWEEN(1,10),"Atendida","Atendida","Atendida","En curso","En curso","Pendiente","Pendiente","Atendida","Atendida","Atendida")</f>
        <v>Atendida</v>
      </c>
      <c r="K259" s="4">
        <f t="shared" ref="K259:K322" ca="1" si="36">IF(J259="Atendida",B259+RANDBETWEEN(0,2),"")</f>
        <v>45375</v>
      </c>
      <c r="L259" s="1">
        <f t="shared" ref="L259:L322" ca="1" si="37">IF(J259="Atendida",RANDBETWEEN(1,24),"")</f>
        <v>22</v>
      </c>
      <c r="M259" s="3" t="str">
        <f t="shared" ref="M259:M322" ca="1" si="38">IF(OR(G259="Escalera eléctrica",G259="Ascensor",G259="Puertas de andén"),"Mantenimiento",IF(G259="Sistema eléctrico","Infraestructura","Telecomunicaciones"))</f>
        <v>Mantenimiento</v>
      </c>
    </row>
    <row r="260" spans="1:13" x14ac:dyDescent="0.3">
      <c r="A260" s="3">
        <f t="shared" si="32"/>
        <v>259</v>
      </c>
      <c r="B260" s="4">
        <f t="shared" ca="1" si="30"/>
        <v>45383</v>
      </c>
      <c r="C260" s="4" t="str">
        <f t="shared" ca="1" si="33"/>
        <v>2024-04</v>
      </c>
      <c r="D260" s="5">
        <f t="shared" ca="1" si="31"/>
        <v>0.20972222222222223</v>
      </c>
      <c r="E260" s="3" t="str" cm="1">
        <f t="array" aca="1" ref="E260" ca="1">INDEX(lista!$A$1:$A$12, RANDBETWEEN(1, 12))</f>
        <v>Pumacahua</v>
      </c>
      <c r="F260" s="3" t="s">
        <v>24</v>
      </c>
      <c r="G260" s="3" t="str" cm="1">
        <f t="array" aca="1" ref="G260" ca="1">INDEX(lista!$B$1:$B$6, RANDBETWEEN(1, 6))</f>
        <v>MET</v>
      </c>
      <c r="H260" s="3" t="str" cm="1">
        <f t="array" aca="1" ref="H260" ca="1">INDEX(lista!$C$1:$C$4, RANDBETWEEN(1, 4))</f>
        <v>Daño en infraestructura</v>
      </c>
      <c r="I260" s="3" t="str">
        <f t="shared" ca="1" si="34"/>
        <v>Baja</v>
      </c>
      <c r="J260" s="3" t="str">
        <f t="shared" ca="1" si="35"/>
        <v>Atendida</v>
      </c>
      <c r="K260" s="4">
        <f t="shared" ca="1" si="36"/>
        <v>45383</v>
      </c>
      <c r="L260" s="1">
        <f t="shared" ca="1" si="37"/>
        <v>4</v>
      </c>
      <c r="M260" s="3" t="str">
        <f t="shared" ca="1" si="38"/>
        <v>Telecomunicaciones</v>
      </c>
    </row>
    <row r="261" spans="1:13" x14ac:dyDescent="0.3">
      <c r="A261" s="3">
        <f t="shared" si="32"/>
        <v>260</v>
      </c>
      <c r="B261" s="4">
        <f t="shared" ca="1" si="30"/>
        <v>45400</v>
      </c>
      <c r="C261" s="4" t="str">
        <f t="shared" ca="1" si="33"/>
        <v>2024-04</v>
      </c>
      <c r="D261" s="5">
        <f t="shared" ca="1" si="31"/>
        <v>0.41180555555555554</v>
      </c>
      <c r="E261" s="3" t="str" cm="1">
        <f t="array" aca="1" ref="E261" ca="1">INDEX(lista!$A$1:$A$12, RANDBETWEEN(1, 12))</f>
        <v>La Cultura</v>
      </c>
      <c r="F261" s="3" t="s">
        <v>24</v>
      </c>
      <c r="G261" s="3" t="str" cm="1">
        <f t="array" aca="1" ref="G261" ca="1">INDEX(lista!$B$1:$B$6, RANDBETWEEN(1, 6))</f>
        <v>Ascensor</v>
      </c>
      <c r="H261" s="3" t="str" cm="1">
        <f t="array" aca="1" ref="H261" ca="1">INDEX(lista!$C$1:$C$4, RANDBETWEEN(1, 4))</f>
        <v>Falla eléctrica</v>
      </c>
      <c r="I261" s="3" t="str">
        <f t="shared" ca="1" si="34"/>
        <v>Media</v>
      </c>
      <c r="J261" s="3" t="str">
        <f t="shared" ca="1" si="35"/>
        <v>Atendida</v>
      </c>
      <c r="K261" s="4">
        <f t="shared" ca="1" si="36"/>
        <v>45402</v>
      </c>
      <c r="L261" s="1">
        <f t="shared" ca="1" si="37"/>
        <v>24</v>
      </c>
      <c r="M261" s="3" t="str">
        <f t="shared" ca="1" si="38"/>
        <v>Mantenimiento</v>
      </c>
    </row>
    <row r="262" spans="1:13" x14ac:dyDescent="0.3">
      <c r="A262" s="3">
        <f t="shared" si="32"/>
        <v>261</v>
      </c>
      <c r="B262" s="4">
        <f t="shared" ca="1" si="30"/>
        <v>45156</v>
      </c>
      <c r="C262" s="4" t="str">
        <f t="shared" ca="1" si="33"/>
        <v>2023-08</v>
      </c>
      <c r="D262" s="5">
        <f t="shared" ca="1" si="31"/>
        <v>0.75972222222222219</v>
      </c>
      <c r="E262" s="3" t="str" cm="1">
        <f t="array" aca="1" ref="E262" ca="1">INDEX(lista!$A$1:$A$12, RANDBETWEEN(1, 12))</f>
        <v>Atocongo</v>
      </c>
      <c r="F262" s="3" t="s">
        <v>24</v>
      </c>
      <c r="G262" s="3" t="str" cm="1">
        <f t="array" aca="1" ref="G262" ca="1">INDEX(lista!$B$1:$B$6, RANDBETWEEN(1, 6))</f>
        <v>Escalera eléctrica</v>
      </c>
      <c r="H262" s="3" t="str" cm="1">
        <f t="array" aca="1" ref="H262" ca="1">INDEX(lista!$C$1:$C$4, RANDBETWEEN(1, 4))</f>
        <v>Falla eléctrica</v>
      </c>
      <c r="I262" s="3" t="str">
        <f t="shared" ca="1" si="34"/>
        <v>Alta</v>
      </c>
      <c r="J262" s="3" t="str">
        <f t="shared" ca="1" si="35"/>
        <v>Atendida</v>
      </c>
      <c r="K262" s="4">
        <f t="shared" ca="1" si="36"/>
        <v>45156</v>
      </c>
      <c r="L262" s="1">
        <f t="shared" ca="1" si="37"/>
        <v>14</v>
      </c>
      <c r="M262" s="3" t="str">
        <f t="shared" ca="1" si="38"/>
        <v>Mantenimiento</v>
      </c>
    </row>
    <row r="263" spans="1:13" x14ac:dyDescent="0.3">
      <c r="A263" s="3">
        <f t="shared" si="32"/>
        <v>262</v>
      </c>
      <c r="B263" s="4">
        <f t="shared" ca="1" si="30"/>
        <v>45107</v>
      </c>
      <c r="C263" s="4" t="str">
        <f t="shared" ca="1" si="33"/>
        <v>2023-06</v>
      </c>
      <c r="D263" s="5">
        <f t="shared" ca="1" si="31"/>
        <v>0.2590277777777778</v>
      </c>
      <c r="E263" s="3" t="str" cm="1">
        <f t="array" aca="1" ref="E263" ca="1">INDEX(lista!$A$1:$A$12, RANDBETWEEN(1, 12))</f>
        <v>Atocongo</v>
      </c>
      <c r="F263" s="3" t="s">
        <v>24</v>
      </c>
      <c r="G263" s="3" t="str" cm="1">
        <f t="array" aca="1" ref="G263" ca="1">INDEX(lista!$B$1:$B$6, RANDBETWEEN(1, 6))</f>
        <v>Torniquete</v>
      </c>
      <c r="H263" s="3" t="str" cm="1">
        <f t="array" aca="1" ref="H263" ca="1">INDEX(lista!$C$1:$C$4, RANDBETWEEN(1, 4))</f>
        <v>Falla eléctrica</v>
      </c>
      <c r="I263" s="3" t="str">
        <f t="shared" ca="1" si="34"/>
        <v>Alta</v>
      </c>
      <c r="J263" s="3" t="str">
        <f t="shared" ca="1" si="35"/>
        <v>Atendida</v>
      </c>
      <c r="K263" s="4">
        <f t="shared" ca="1" si="36"/>
        <v>45109</v>
      </c>
      <c r="L263" s="1">
        <f t="shared" ca="1" si="37"/>
        <v>23</v>
      </c>
      <c r="M263" s="3" t="str">
        <f t="shared" ca="1" si="38"/>
        <v>Telecomunicaciones</v>
      </c>
    </row>
    <row r="264" spans="1:13" x14ac:dyDescent="0.3">
      <c r="A264" s="3">
        <f t="shared" si="32"/>
        <v>263</v>
      </c>
      <c r="B264" s="4">
        <f t="shared" ca="1" si="30"/>
        <v>45135</v>
      </c>
      <c r="C264" s="4" t="str">
        <f t="shared" ca="1" si="33"/>
        <v>2023-07</v>
      </c>
      <c r="D264" s="5">
        <f t="shared" ca="1" si="31"/>
        <v>0.55555555555555547</v>
      </c>
      <c r="E264" s="3" t="str" cm="1">
        <f t="array" aca="1" ref="E264" ca="1">INDEX(lista!$A$1:$A$12, RANDBETWEEN(1, 12))</f>
        <v>Angamos</v>
      </c>
      <c r="F264" s="3" t="s">
        <v>24</v>
      </c>
      <c r="G264" s="3" t="str" cm="1">
        <f t="array" aca="1" ref="G264" ca="1">INDEX(lista!$B$1:$B$6, RANDBETWEEN(1, 6))</f>
        <v>Escalera eléctrica</v>
      </c>
      <c r="H264" s="3" t="str" cm="1">
        <f t="array" aca="1" ref="H264" ca="1">INDEX(lista!$C$1:$C$4, RANDBETWEEN(1, 4))</f>
        <v>Mantenimiento preventivo</v>
      </c>
      <c r="I264" s="3" t="str">
        <f t="shared" ca="1" si="34"/>
        <v>Baja</v>
      </c>
      <c r="J264" s="3" t="str">
        <f t="shared" ca="1" si="35"/>
        <v>Atendida</v>
      </c>
      <c r="K264" s="4">
        <f t="shared" ca="1" si="36"/>
        <v>45135</v>
      </c>
      <c r="L264" s="1">
        <f t="shared" ca="1" si="37"/>
        <v>14</v>
      </c>
      <c r="M264" s="3" t="str">
        <f t="shared" ca="1" si="38"/>
        <v>Mantenimiento</v>
      </c>
    </row>
    <row r="265" spans="1:13" x14ac:dyDescent="0.3">
      <c r="A265" s="3">
        <f t="shared" si="32"/>
        <v>264</v>
      </c>
      <c r="B265" s="4">
        <f t="shared" ca="1" si="30"/>
        <v>45020</v>
      </c>
      <c r="C265" s="4" t="str">
        <f t="shared" ca="1" si="33"/>
        <v>2023-04</v>
      </c>
      <c r="D265" s="5">
        <f t="shared" ca="1" si="31"/>
        <v>0.37361111111111112</v>
      </c>
      <c r="E265" s="3" t="str" cm="1">
        <f t="array" aca="1" ref="E265" ca="1">INDEX(lista!$A$1:$A$12, RANDBETWEEN(1, 12))</f>
        <v>San Borja Sur</v>
      </c>
      <c r="F265" s="3" t="s">
        <v>24</v>
      </c>
      <c r="G265" s="3" t="str" cm="1">
        <f t="array" aca="1" ref="G265" ca="1">INDEX(lista!$B$1:$B$6, RANDBETWEEN(1, 6))</f>
        <v>Ascensor</v>
      </c>
      <c r="H265" s="3" t="str" cm="1">
        <f t="array" aca="1" ref="H265" ca="1">INDEX(lista!$C$1:$C$4, RANDBETWEEN(1, 4))</f>
        <v>Falla eléctrica</v>
      </c>
      <c r="I265" s="3" t="str">
        <f t="shared" ca="1" si="34"/>
        <v>Alta</v>
      </c>
      <c r="J265" s="3" t="str">
        <f t="shared" ca="1" si="35"/>
        <v>Pendiente</v>
      </c>
      <c r="K265" s="4" t="str">
        <f t="shared" ca="1" si="36"/>
        <v/>
      </c>
      <c r="L265" s="1" t="str">
        <f t="shared" ca="1" si="37"/>
        <v/>
      </c>
      <c r="M265" s="3" t="str">
        <f t="shared" ca="1" si="38"/>
        <v>Mantenimiento</v>
      </c>
    </row>
    <row r="266" spans="1:13" x14ac:dyDescent="0.3">
      <c r="A266" s="3">
        <f t="shared" si="32"/>
        <v>265</v>
      </c>
      <c r="B266" s="4">
        <f t="shared" ca="1" si="30"/>
        <v>45119</v>
      </c>
      <c r="C266" s="4" t="str">
        <f t="shared" ca="1" si="33"/>
        <v>2023-07</v>
      </c>
      <c r="D266" s="5">
        <f t="shared" ca="1" si="31"/>
        <v>0.71388888888888891</v>
      </c>
      <c r="E266" s="3" t="str" cm="1">
        <f t="array" aca="1" ref="E266" ca="1">INDEX(lista!$A$1:$A$12, RANDBETWEEN(1, 12))</f>
        <v>La Cultura</v>
      </c>
      <c r="F266" s="3" t="s">
        <v>24</v>
      </c>
      <c r="G266" s="3" t="str" cm="1">
        <f t="array" aca="1" ref="G266" ca="1">INDEX(lista!$B$1:$B$6, RANDBETWEEN(1, 6))</f>
        <v>Torniquete</v>
      </c>
      <c r="H266" s="3" t="str" cm="1">
        <f t="array" aca="1" ref="H266" ca="1">INDEX(lista!$C$1:$C$4, RANDBETWEEN(1, 4))</f>
        <v>Falla eléctrica</v>
      </c>
      <c r="I266" s="3" t="str">
        <f t="shared" ca="1" si="34"/>
        <v>Baja</v>
      </c>
      <c r="J266" s="3" t="str">
        <f t="shared" ca="1" si="35"/>
        <v>Atendida</v>
      </c>
      <c r="K266" s="4">
        <f t="shared" ca="1" si="36"/>
        <v>45121</v>
      </c>
      <c r="L266" s="1">
        <f t="shared" ca="1" si="37"/>
        <v>21</v>
      </c>
      <c r="M266" s="3" t="str">
        <f t="shared" ca="1" si="38"/>
        <v>Telecomunicaciones</v>
      </c>
    </row>
    <row r="267" spans="1:13" x14ac:dyDescent="0.3">
      <c r="A267" s="3">
        <f t="shared" si="32"/>
        <v>266</v>
      </c>
      <c r="B267" s="4">
        <f t="shared" ca="1" si="30"/>
        <v>45655</v>
      </c>
      <c r="C267" s="4" t="str">
        <f t="shared" ca="1" si="33"/>
        <v>2024-12</v>
      </c>
      <c r="D267" s="5">
        <f t="shared" ca="1" si="31"/>
        <v>0.63124999999999998</v>
      </c>
      <c r="E267" s="3" t="str" cm="1">
        <f t="array" aca="1" ref="E267" ca="1">INDEX(lista!$A$1:$A$12, RANDBETWEEN(1, 12))</f>
        <v>San Carlos</v>
      </c>
      <c r="F267" s="3" t="s">
        <v>24</v>
      </c>
      <c r="G267" s="3" t="str" cm="1">
        <f t="array" aca="1" ref="G267" ca="1">INDEX(lista!$B$1:$B$6, RANDBETWEEN(1, 6))</f>
        <v>Torniquete</v>
      </c>
      <c r="H267" s="3" t="str" cm="1">
        <f t="array" aca="1" ref="H267" ca="1">INDEX(lista!$C$1:$C$4, RANDBETWEEN(1, 4))</f>
        <v>Mantenimiento preventivo</v>
      </c>
      <c r="I267" s="3" t="str">
        <f t="shared" ca="1" si="34"/>
        <v>Alta</v>
      </c>
      <c r="J267" s="3" t="str">
        <f t="shared" ca="1" si="35"/>
        <v>En curso</v>
      </c>
      <c r="K267" s="4" t="str">
        <f t="shared" ca="1" si="36"/>
        <v/>
      </c>
      <c r="L267" s="1" t="str">
        <f t="shared" ca="1" si="37"/>
        <v/>
      </c>
      <c r="M267" s="3" t="str">
        <f t="shared" ca="1" si="38"/>
        <v>Telecomunicaciones</v>
      </c>
    </row>
    <row r="268" spans="1:13" x14ac:dyDescent="0.3">
      <c r="A268" s="3">
        <f t="shared" si="32"/>
        <v>267</v>
      </c>
      <c r="B268" s="4">
        <f t="shared" ca="1" si="30"/>
        <v>45565</v>
      </c>
      <c r="C268" s="4" t="str">
        <f t="shared" ca="1" si="33"/>
        <v>2024-09</v>
      </c>
      <c r="D268" s="5">
        <f t="shared" ca="1" si="31"/>
        <v>0.73611111111111116</v>
      </c>
      <c r="E268" s="3" t="str" cm="1">
        <f t="array" aca="1" ref="E268" ca="1">INDEX(lista!$A$1:$A$12, RANDBETWEEN(1, 12))</f>
        <v>Cabitos</v>
      </c>
      <c r="F268" s="3" t="s">
        <v>24</v>
      </c>
      <c r="G268" s="3" t="str" cm="1">
        <f t="array" aca="1" ref="G268" ca="1">INDEX(lista!$B$1:$B$6, RANDBETWEEN(1, 6))</f>
        <v>Escalera eléctrica</v>
      </c>
      <c r="H268" s="3" t="str" cm="1">
        <f t="array" aca="1" ref="H268" ca="1">INDEX(lista!$C$1:$C$4, RANDBETWEEN(1, 4))</f>
        <v>Mantenimiento preventivo</v>
      </c>
      <c r="I268" s="3" t="str">
        <f t="shared" ca="1" si="34"/>
        <v>Baja</v>
      </c>
      <c r="J268" s="3" t="str">
        <f t="shared" ca="1" si="35"/>
        <v>Atendida</v>
      </c>
      <c r="K268" s="4">
        <f t="shared" ca="1" si="36"/>
        <v>45566</v>
      </c>
      <c r="L268" s="1">
        <f t="shared" ca="1" si="37"/>
        <v>9</v>
      </c>
      <c r="M268" s="3" t="str">
        <f t="shared" ca="1" si="38"/>
        <v>Mantenimiento</v>
      </c>
    </row>
    <row r="269" spans="1:13" x14ac:dyDescent="0.3">
      <c r="A269" s="3">
        <f t="shared" si="32"/>
        <v>268</v>
      </c>
      <c r="B269" s="4">
        <f t="shared" ca="1" si="30"/>
        <v>45253</v>
      </c>
      <c r="C269" s="4" t="str">
        <f t="shared" ca="1" si="33"/>
        <v>2023-11</v>
      </c>
      <c r="D269" s="5">
        <f t="shared" ca="1" si="31"/>
        <v>0.26319444444444445</v>
      </c>
      <c r="E269" s="3" t="str" cm="1">
        <f t="array" aca="1" ref="E269" ca="1">INDEX(lista!$A$1:$A$12, RANDBETWEEN(1, 12))</f>
        <v>La Cultura</v>
      </c>
      <c r="F269" s="3" t="s">
        <v>24</v>
      </c>
      <c r="G269" s="3" t="str" cm="1">
        <f t="array" aca="1" ref="G269" ca="1">INDEX(lista!$B$1:$B$6, RANDBETWEEN(1, 6))</f>
        <v>TVM</v>
      </c>
      <c r="H269" s="3" t="str" cm="1">
        <f t="array" aca="1" ref="H269" ca="1">INDEX(lista!$C$1:$C$4, RANDBETWEEN(1, 4))</f>
        <v>Mantenimiento preventivo</v>
      </c>
      <c r="I269" s="3" t="str">
        <f t="shared" ca="1" si="34"/>
        <v>Media</v>
      </c>
      <c r="J269" s="3" t="str">
        <f t="shared" ca="1" si="35"/>
        <v>En curso</v>
      </c>
      <c r="K269" s="4" t="str">
        <f t="shared" ca="1" si="36"/>
        <v/>
      </c>
      <c r="L269" s="1" t="str">
        <f t="shared" ca="1" si="37"/>
        <v/>
      </c>
      <c r="M269" s="3" t="str">
        <f t="shared" ca="1" si="38"/>
        <v>Telecomunicaciones</v>
      </c>
    </row>
    <row r="270" spans="1:13" x14ac:dyDescent="0.3">
      <c r="A270" s="3">
        <f t="shared" si="32"/>
        <v>269</v>
      </c>
      <c r="B270" s="4">
        <f t="shared" ca="1" si="30"/>
        <v>45092</v>
      </c>
      <c r="C270" s="4" t="str">
        <f t="shared" ca="1" si="33"/>
        <v>2023-06</v>
      </c>
      <c r="D270" s="5">
        <f t="shared" ca="1" si="31"/>
        <v>0.72500000000000009</v>
      </c>
      <c r="E270" s="3" t="str" cm="1">
        <f t="array" aca="1" ref="E270" ca="1">INDEX(lista!$A$1:$A$12, RANDBETWEEN(1, 12))</f>
        <v>Santa Rosa</v>
      </c>
      <c r="F270" s="3" t="s">
        <v>24</v>
      </c>
      <c r="G270" s="3" t="str" cm="1">
        <f t="array" aca="1" ref="G270" ca="1">INDEX(lista!$B$1:$B$6, RANDBETWEEN(1, 6))</f>
        <v>Torniquete</v>
      </c>
      <c r="H270" s="3" t="str" cm="1">
        <f t="array" aca="1" ref="H270" ca="1">INDEX(lista!$C$1:$C$4, RANDBETWEEN(1, 4))</f>
        <v>Falla mecánica</v>
      </c>
      <c r="I270" s="3" t="str">
        <f t="shared" ca="1" si="34"/>
        <v>Alta</v>
      </c>
      <c r="J270" s="3" t="str">
        <f t="shared" ca="1" si="35"/>
        <v>Atendida</v>
      </c>
      <c r="K270" s="4">
        <f t="shared" ca="1" si="36"/>
        <v>45093</v>
      </c>
      <c r="L270" s="1">
        <f t="shared" ca="1" si="37"/>
        <v>10</v>
      </c>
      <c r="M270" s="3" t="str">
        <f t="shared" ca="1" si="38"/>
        <v>Telecomunicaciones</v>
      </c>
    </row>
    <row r="271" spans="1:13" x14ac:dyDescent="0.3">
      <c r="A271" s="3">
        <f t="shared" si="32"/>
        <v>270</v>
      </c>
      <c r="B271" s="4">
        <f t="shared" ca="1" si="30"/>
        <v>45179</v>
      </c>
      <c r="C271" s="4" t="str">
        <f t="shared" ca="1" si="33"/>
        <v>2023-09</v>
      </c>
      <c r="D271" s="5">
        <f t="shared" ca="1" si="31"/>
        <v>0.40694444444444444</v>
      </c>
      <c r="E271" s="3" t="str" cm="1">
        <f t="array" aca="1" ref="E271" ca="1">INDEX(lista!$A$1:$A$12, RANDBETWEEN(1, 12))</f>
        <v>Santa Rosa</v>
      </c>
      <c r="F271" s="3" t="s">
        <v>24</v>
      </c>
      <c r="G271" s="3" t="str" cm="1">
        <f t="array" aca="1" ref="G271" ca="1">INDEX(lista!$B$1:$B$6, RANDBETWEEN(1, 6))</f>
        <v>Ascensor</v>
      </c>
      <c r="H271" s="3" t="str" cm="1">
        <f t="array" aca="1" ref="H271" ca="1">INDEX(lista!$C$1:$C$4, RANDBETWEEN(1, 4))</f>
        <v>Falla mecánica</v>
      </c>
      <c r="I271" s="3" t="str">
        <f t="shared" ca="1" si="34"/>
        <v>Alta</v>
      </c>
      <c r="J271" s="3" t="str">
        <f t="shared" ca="1" si="35"/>
        <v>Atendida</v>
      </c>
      <c r="K271" s="4">
        <f t="shared" ca="1" si="36"/>
        <v>45179</v>
      </c>
      <c r="L271" s="1">
        <f t="shared" ca="1" si="37"/>
        <v>23</v>
      </c>
      <c r="M271" s="3" t="str">
        <f t="shared" ca="1" si="38"/>
        <v>Mantenimiento</v>
      </c>
    </row>
    <row r="272" spans="1:13" x14ac:dyDescent="0.3">
      <c r="A272" s="3">
        <f t="shared" si="32"/>
        <v>271</v>
      </c>
      <c r="B272" s="4">
        <f t="shared" ca="1" si="30"/>
        <v>45035</v>
      </c>
      <c r="C272" s="4" t="str">
        <f t="shared" ca="1" si="33"/>
        <v>2023-04</v>
      </c>
      <c r="D272" s="5">
        <f t="shared" ca="1" si="31"/>
        <v>0.2590277777777778</v>
      </c>
      <c r="E272" s="3" t="str" cm="1">
        <f t="array" aca="1" ref="E272" ca="1">INDEX(lista!$A$1:$A$12, RANDBETWEEN(1, 12))</f>
        <v>Angamos</v>
      </c>
      <c r="F272" s="3" t="s">
        <v>24</v>
      </c>
      <c r="G272" s="3" t="str" cm="1">
        <f t="array" aca="1" ref="G272" ca="1">INDEX(lista!$B$1:$B$6, RANDBETWEEN(1, 6))</f>
        <v>Radio</v>
      </c>
      <c r="H272" s="3" t="str" cm="1">
        <f t="array" aca="1" ref="H272" ca="1">INDEX(lista!$C$1:$C$4, RANDBETWEEN(1, 4))</f>
        <v>Daño en infraestructura</v>
      </c>
      <c r="I272" s="3" t="str">
        <f t="shared" ca="1" si="34"/>
        <v>Baja</v>
      </c>
      <c r="J272" s="3" t="str">
        <f t="shared" ca="1" si="35"/>
        <v>Pendiente</v>
      </c>
      <c r="K272" s="4" t="str">
        <f t="shared" ca="1" si="36"/>
        <v/>
      </c>
      <c r="L272" s="1" t="str">
        <f t="shared" ca="1" si="37"/>
        <v/>
      </c>
      <c r="M272" s="3" t="str">
        <f t="shared" ca="1" si="38"/>
        <v>Telecomunicaciones</v>
      </c>
    </row>
    <row r="273" spans="1:13" x14ac:dyDescent="0.3">
      <c r="A273" s="3">
        <f t="shared" si="32"/>
        <v>272</v>
      </c>
      <c r="B273" s="4">
        <f t="shared" ca="1" si="30"/>
        <v>45459</v>
      </c>
      <c r="C273" s="4" t="str">
        <f t="shared" ca="1" si="33"/>
        <v>2024-06</v>
      </c>
      <c r="D273" s="5">
        <f t="shared" ca="1" si="31"/>
        <v>0.7583333333333333</v>
      </c>
      <c r="E273" s="3" t="str" cm="1">
        <f t="array" aca="1" ref="E273" ca="1">INDEX(lista!$A$1:$A$12, RANDBETWEEN(1, 12))</f>
        <v>La Cultura</v>
      </c>
      <c r="F273" s="3" t="s">
        <v>24</v>
      </c>
      <c r="G273" s="3" t="str" cm="1">
        <f t="array" aca="1" ref="G273" ca="1">INDEX(lista!$B$1:$B$6, RANDBETWEEN(1, 6))</f>
        <v>Torniquete</v>
      </c>
      <c r="H273" s="3" t="str" cm="1">
        <f t="array" aca="1" ref="H273" ca="1">INDEX(lista!$C$1:$C$4, RANDBETWEEN(1, 4))</f>
        <v>Falla eléctrica</v>
      </c>
      <c r="I273" s="3" t="str">
        <f t="shared" ca="1" si="34"/>
        <v>Baja</v>
      </c>
      <c r="J273" s="3" t="str">
        <f t="shared" ca="1" si="35"/>
        <v>Atendida</v>
      </c>
      <c r="K273" s="4">
        <f t="shared" ca="1" si="36"/>
        <v>45460</v>
      </c>
      <c r="L273" s="1">
        <f t="shared" ca="1" si="37"/>
        <v>22</v>
      </c>
      <c r="M273" s="3" t="str">
        <f t="shared" ca="1" si="38"/>
        <v>Telecomunicaciones</v>
      </c>
    </row>
    <row r="274" spans="1:13" x14ac:dyDescent="0.3">
      <c r="A274" s="3">
        <f t="shared" si="32"/>
        <v>273</v>
      </c>
      <c r="B274" s="4">
        <f t="shared" ca="1" si="30"/>
        <v>45581</v>
      </c>
      <c r="C274" s="4" t="str">
        <f t="shared" ca="1" si="33"/>
        <v>2024-10</v>
      </c>
      <c r="D274" s="5">
        <f t="shared" ca="1" si="31"/>
        <v>2.2916666666666665E-2</v>
      </c>
      <c r="E274" s="3" t="str" cm="1">
        <f t="array" aca="1" ref="E274" ca="1">INDEX(lista!$A$1:$A$12, RANDBETWEEN(1, 12))</f>
        <v>San Borja Sur</v>
      </c>
      <c r="F274" s="3" t="s">
        <v>24</v>
      </c>
      <c r="G274" s="3" t="str" cm="1">
        <f t="array" aca="1" ref="G274" ca="1">INDEX(lista!$B$1:$B$6, RANDBETWEEN(1, 6))</f>
        <v>TVM</v>
      </c>
      <c r="H274" s="3" t="str" cm="1">
        <f t="array" aca="1" ref="H274" ca="1">INDEX(lista!$C$1:$C$4, RANDBETWEEN(1, 4))</f>
        <v>Falla mecánica</v>
      </c>
      <c r="I274" s="3" t="str">
        <f t="shared" ca="1" si="34"/>
        <v>Media</v>
      </c>
      <c r="J274" s="3" t="str">
        <f t="shared" ca="1" si="35"/>
        <v>Atendida</v>
      </c>
      <c r="K274" s="4">
        <f t="shared" ca="1" si="36"/>
        <v>45582</v>
      </c>
      <c r="L274" s="1">
        <f t="shared" ca="1" si="37"/>
        <v>12</v>
      </c>
      <c r="M274" s="3" t="str">
        <f t="shared" ca="1" si="38"/>
        <v>Telecomunicaciones</v>
      </c>
    </row>
    <row r="275" spans="1:13" x14ac:dyDescent="0.3">
      <c r="A275" s="3">
        <f t="shared" si="32"/>
        <v>274</v>
      </c>
      <c r="B275" s="4">
        <f t="shared" ca="1" si="30"/>
        <v>45031</v>
      </c>
      <c r="C275" s="4" t="str">
        <f t="shared" ca="1" si="33"/>
        <v>2023-04</v>
      </c>
      <c r="D275" s="5">
        <f t="shared" ca="1" si="31"/>
        <v>6.8750000000000006E-2</v>
      </c>
      <c r="E275" s="3" t="str" cm="1">
        <f t="array" aca="1" ref="E275" ca="1">INDEX(lista!$A$1:$A$12, RANDBETWEEN(1, 12))</f>
        <v>Ayacucho</v>
      </c>
      <c r="F275" s="3" t="s">
        <v>24</v>
      </c>
      <c r="G275" s="3" t="str" cm="1">
        <f t="array" aca="1" ref="G275" ca="1">INDEX(lista!$B$1:$B$6, RANDBETWEEN(1, 6))</f>
        <v>Escalera eléctrica</v>
      </c>
      <c r="H275" s="3" t="str" cm="1">
        <f t="array" aca="1" ref="H275" ca="1">INDEX(lista!$C$1:$C$4, RANDBETWEEN(1, 4))</f>
        <v>Falla eléctrica</v>
      </c>
      <c r="I275" s="3" t="str">
        <f t="shared" ca="1" si="34"/>
        <v>Baja</v>
      </c>
      <c r="J275" s="3" t="str">
        <f t="shared" ca="1" si="35"/>
        <v>Atendida</v>
      </c>
      <c r="K275" s="4">
        <f t="shared" ca="1" si="36"/>
        <v>45032</v>
      </c>
      <c r="L275" s="1">
        <f t="shared" ca="1" si="37"/>
        <v>18</v>
      </c>
      <c r="M275" s="3" t="str">
        <f t="shared" ca="1" si="38"/>
        <v>Mantenimiento</v>
      </c>
    </row>
    <row r="276" spans="1:13" x14ac:dyDescent="0.3">
      <c r="A276" s="3">
        <f t="shared" si="32"/>
        <v>275</v>
      </c>
      <c r="B276" s="4">
        <f t="shared" ca="1" si="30"/>
        <v>45203</v>
      </c>
      <c r="C276" s="4" t="str">
        <f t="shared" ca="1" si="33"/>
        <v>2023-10</v>
      </c>
      <c r="D276" s="5">
        <f t="shared" ca="1" si="31"/>
        <v>0.22430555555555556</v>
      </c>
      <c r="E276" s="3" t="str" cm="1">
        <f t="array" aca="1" ref="E276" ca="1">INDEX(lista!$A$1:$A$12, RANDBETWEEN(1, 12))</f>
        <v>Villa El Salvador</v>
      </c>
      <c r="F276" s="3" t="s">
        <v>24</v>
      </c>
      <c r="G276" s="3" t="str" cm="1">
        <f t="array" aca="1" ref="G276" ca="1">INDEX(lista!$B$1:$B$6, RANDBETWEEN(1, 6))</f>
        <v>MET</v>
      </c>
      <c r="H276" s="3" t="str" cm="1">
        <f t="array" aca="1" ref="H276" ca="1">INDEX(lista!$C$1:$C$4, RANDBETWEEN(1, 4))</f>
        <v>Falla eléctrica</v>
      </c>
      <c r="I276" s="3" t="str">
        <f t="shared" ca="1" si="34"/>
        <v>Media</v>
      </c>
      <c r="J276" s="3" t="str">
        <f t="shared" ca="1" si="35"/>
        <v>Pendiente</v>
      </c>
      <c r="K276" s="4" t="str">
        <f t="shared" ca="1" si="36"/>
        <v/>
      </c>
      <c r="L276" s="1" t="str">
        <f t="shared" ca="1" si="37"/>
        <v/>
      </c>
      <c r="M276" s="3" t="str">
        <f t="shared" ca="1" si="38"/>
        <v>Telecomunicaciones</v>
      </c>
    </row>
    <row r="277" spans="1:13" x14ac:dyDescent="0.3">
      <c r="A277" s="3">
        <f t="shared" si="32"/>
        <v>276</v>
      </c>
      <c r="B277" s="4">
        <f t="shared" ca="1" si="30"/>
        <v>45453</v>
      </c>
      <c r="C277" s="4" t="str">
        <f t="shared" ca="1" si="33"/>
        <v>2024-06</v>
      </c>
      <c r="D277" s="5">
        <f t="shared" ca="1" si="31"/>
        <v>0.75277777777777777</v>
      </c>
      <c r="E277" s="3" t="str" cm="1">
        <f t="array" aca="1" ref="E277" ca="1">INDEX(lista!$A$1:$A$12, RANDBETWEEN(1, 12))</f>
        <v>San Borja Sur</v>
      </c>
      <c r="F277" s="3" t="s">
        <v>24</v>
      </c>
      <c r="G277" s="3" t="str" cm="1">
        <f t="array" aca="1" ref="G277" ca="1">INDEX(lista!$B$1:$B$6, RANDBETWEEN(1, 6))</f>
        <v>MET</v>
      </c>
      <c r="H277" s="3" t="str" cm="1">
        <f t="array" aca="1" ref="H277" ca="1">INDEX(lista!$C$1:$C$4, RANDBETWEEN(1, 4))</f>
        <v>Mantenimiento preventivo</v>
      </c>
      <c r="I277" s="3" t="str">
        <f t="shared" ca="1" si="34"/>
        <v>Alta</v>
      </c>
      <c r="J277" s="3" t="str">
        <f t="shared" ca="1" si="35"/>
        <v>Atendida</v>
      </c>
      <c r="K277" s="4">
        <f t="shared" ca="1" si="36"/>
        <v>45454</v>
      </c>
      <c r="L277" s="1">
        <f t="shared" ca="1" si="37"/>
        <v>5</v>
      </c>
      <c r="M277" s="3" t="str">
        <f t="shared" ca="1" si="38"/>
        <v>Telecomunicaciones</v>
      </c>
    </row>
    <row r="278" spans="1:13" x14ac:dyDescent="0.3">
      <c r="A278" s="3">
        <f t="shared" si="32"/>
        <v>277</v>
      </c>
      <c r="B278" s="4">
        <f t="shared" ca="1" si="30"/>
        <v>45226</v>
      </c>
      <c r="C278" s="4" t="str">
        <f t="shared" ca="1" si="33"/>
        <v>2023-10</v>
      </c>
      <c r="D278" s="5">
        <f t="shared" ca="1" si="31"/>
        <v>0.91805555555555551</v>
      </c>
      <c r="E278" s="3" t="str" cm="1">
        <f t="array" aca="1" ref="E278" ca="1">INDEX(lista!$A$1:$A$12, RANDBETWEEN(1, 12))</f>
        <v>Santa Rosa</v>
      </c>
      <c r="F278" s="3" t="s">
        <v>24</v>
      </c>
      <c r="G278" s="3" t="str" cm="1">
        <f t="array" aca="1" ref="G278" ca="1">INDEX(lista!$B$1:$B$6, RANDBETWEEN(1, 6))</f>
        <v>Radio</v>
      </c>
      <c r="H278" s="3" t="str" cm="1">
        <f t="array" aca="1" ref="H278" ca="1">INDEX(lista!$C$1:$C$4, RANDBETWEEN(1, 4))</f>
        <v>Falla mecánica</v>
      </c>
      <c r="I278" s="3" t="str">
        <f t="shared" ca="1" si="34"/>
        <v>Media</v>
      </c>
      <c r="J278" s="3" t="str">
        <f t="shared" ca="1" si="35"/>
        <v>Atendida</v>
      </c>
      <c r="K278" s="4">
        <f t="shared" ca="1" si="36"/>
        <v>45227</v>
      </c>
      <c r="L278" s="1">
        <f t="shared" ca="1" si="37"/>
        <v>21</v>
      </c>
      <c r="M278" s="3" t="str">
        <f t="shared" ca="1" si="38"/>
        <v>Telecomunicaciones</v>
      </c>
    </row>
    <row r="279" spans="1:13" x14ac:dyDescent="0.3">
      <c r="A279" s="3">
        <f t="shared" si="32"/>
        <v>278</v>
      </c>
      <c r="B279" s="4">
        <f t="shared" ca="1" si="30"/>
        <v>44984</v>
      </c>
      <c r="C279" s="4" t="str">
        <f t="shared" ca="1" si="33"/>
        <v>2023-02</v>
      </c>
      <c r="D279" s="5">
        <f t="shared" ca="1" si="31"/>
        <v>0.72083333333333333</v>
      </c>
      <c r="E279" s="3" t="str" cm="1">
        <f t="array" aca="1" ref="E279" ca="1">INDEX(lista!$A$1:$A$12, RANDBETWEEN(1, 12))</f>
        <v>Santa Rosa</v>
      </c>
      <c r="F279" s="3" t="s">
        <v>24</v>
      </c>
      <c r="G279" s="3" t="str" cm="1">
        <f t="array" aca="1" ref="G279" ca="1">INDEX(lista!$B$1:$B$6, RANDBETWEEN(1, 6))</f>
        <v>MET</v>
      </c>
      <c r="H279" s="3" t="str" cm="1">
        <f t="array" aca="1" ref="H279" ca="1">INDEX(lista!$C$1:$C$4, RANDBETWEEN(1, 4))</f>
        <v>Falla mecánica</v>
      </c>
      <c r="I279" s="3" t="str">
        <f t="shared" ca="1" si="34"/>
        <v>Alta</v>
      </c>
      <c r="J279" s="3" t="str">
        <f t="shared" ca="1" si="35"/>
        <v>Pendiente</v>
      </c>
      <c r="K279" s="4" t="str">
        <f t="shared" ca="1" si="36"/>
        <v/>
      </c>
      <c r="L279" s="1" t="str">
        <f t="shared" ca="1" si="37"/>
        <v/>
      </c>
      <c r="M279" s="3" t="str">
        <f t="shared" ca="1" si="38"/>
        <v>Telecomunicaciones</v>
      </c>
    </row>
    <row r="280" spans="1:13" x14ac:dyDescent="0.3">
      <c r="A280" s="3">
        <f t="shared" si="32"/>
        <v>279</v>
      </c>
      <c r="B280" s="4">
        <f t="shared" ca="1" si="30"/>
        <v>45340</v>
      </c>
      <c r="C280" s="4" t="str">
        <f t="shared" ca="1" si="33"/>
        <v>2024-02</v>
      </c>
      <c r="D280" s="5">
        <f t="shared" ca="1" si="31"/>
        <v>0.71388888888888891</v>
      </c>
      <c r="E280" s="3" t="str" cm="1">
        <f t="array" aca="1" ref="E280" ca="1">INDEX(lista!$A$1:$A$12, RANDBETWEEN(1, 12))</f>
        <v>Atocongo</v>
      </c>
      <c r="F280" s="3" t="s">
        <v>24</v>
      </c>
      <c r="G280" s="3" t="str" cm="1">
        <f t="array" aca="1" ref="G280" ca="1">INDEX(lista!$B$1:$B$6, RANDBETWEEN(1, 6))</f>
        <v>Torniquete</v>
      </c>
      <c r="H280" s="3" t="str" cm="1">
        <f t="array" aca="1" ref="H280" ca="1">INDEX(lista!$C$1:$C$4, RANDBETWEEN(1, 4))</f>
        <v>Mantenimiento preventivo</v>
      </c>
      <c r="I280" s="3" t="str">
        <f t="shared" ca="1" si="34"/>
        <v>Media</v>
      </c>
      <c r="J280" s="3" t="str">
        <f t="shared" ca="1" si="35"/>
        <v>Atendida</v>
      </c>
      <c r="K280" s="4">
        <f t="shared" ca="1" si="36"/>
        <v>45342</v>
      </c>
      <c r="L280" s="1">
        <f t="shared" ca="1" si="37"/>
        <v>3</v>
      </c>
      <c r="M280" s="3" t="str">
        <f t="shared" ca="1" si="38"/>
        <v>Telecomunicaciones</v>
      </c>
    </row>
    <row r="281" spans="1:13" x14ac:dyDescent="0.3">
      <c r="A281" s="3">
        <f t="shared" si="32"/>
        <v>280</v>
      </c>
      <c r="B281" s="4">
        <f t="shared" ca="1" si="30"/>
        <v>45497</v>
      </c>
      <c r="C281" s="4" t="str">
        <f t="shared" ca="1" si="33"/>
        <v>2024-07</v>
      </c>
      <c r="D281" s="5">
        <f t="shared" ca="1" si="31"/>
        <v>0.21180555555555555</v>
      </c>
      <c r="E281" s="3" t="str" cm="1">
        <f t="array" aca="1" ref="E281" ca="1">INDEX(lista!$A$1:$A$12, RANDBETWEEN(1, 12))</f>
        <v>Pumacahua</v>
      </c>
      <c r="F281" s="3" t="s">
        <v>24</v>
      </c>
      <c r="G281" s="3" t="str" cm="1">
        <f t="array" aca="1" ref="G281" ca="1">INDEX(lista!$B$1:$B$6, RANDBETWEEN(1, 6))</f>
        <v>MET</v>
      </c>
      <c r="H281" s="3" t="str" cm="1">
        <f t="array" aca="1" ref="H281" ca="1">INDEX(lista!$C$1:$C$4, RANDBETWEEN(1, 4))</f>
        <v>Daño en infraestructura</v>
      </c>
      <c r="I281" s="3" t="str">
        <f t="shared" ca="1" si="34"/>
        <v>Alta</v>
      </c>
      <c r="J281" s="3" t="str">
        <f t="shared" ca="1" si="35"/>
        <v>Atendida</v>
      </c>
      <c r="K281" s="4">
        <f t="shared" ca="1" si="36"/>
        <v>45499</v>
      </c>
      <c r="L281" s="1">
        <f t="shared" ca="1" si="37"/>
        <v>7</v>
      </c>
      <c r="M281" s="3" t="str">
        <f t="shared" ca="1" si="38"/>
        <v>Telecomunicaciones</v>
      </c>
    </row>
    <row r="282" spans="1:13" x14ac:dyDescent="0.3">
      <c r="A282" s="3">
        <f t="shared" si="32"/>
        <v>281</v>
      </c>
      <c r="B282" s="4">
        <f t="shared" ca="1" si="30"/>
        <v>44928</v>
      </c>
      <c r="C282" s="4" t="str">
        <f t="shared" ca="1" si="33"/>
        <v>2023-01</v>
      </c>
      <c r="D282" s="5">
        <f t="shared" ca="1" si="31"/>
        <v>0.17986111111111111</v>
      </c>
      <c r="E282" s="3" t="str" cm="1">
        <f t="array" aca="1" ref="E282" ca="1">INDEX(lista!$A$1:$A$12, RANDBETWEEN(1, 12))</f>
        <v>Cabitos</v>
      </c>
      <c r="F282" s="3" t="s">
        <v>24</v>
      </c>
      <c r="G282" s="3" t="str" cm="1">
        <f t="array" aca="1" ref="G282" ca="1">INDEX(lista!$B$1:$B$6, RANDBETWEEN(1, 6))</f>
        <v>Ascensor</v>
      </c>
      <c r="H282" s="3" t="str" cm="1">
        <f t="array" aca="1" ref="H282" ca="1">INDEX(lista!$C$1:$C$4, RANDBETWEEN(1, 4))</f>
        <v>Mantenimiento preventivo</v>
      </c>
      <c r="I282" s="3" t="str">
        <f t="shared" ca="1" si="34"/>
        <v>Media</v>
      </c>
      <c r="J282" s="3" t="str">
        <f t="shared" ca="1" si="35"/>
        <v>Pendiente</v>
      </c>
      <c r="K282" s="4" t="str">
        <f t="shared" ca="1" si="36"/>
        <v/>
      </c>
      <c r="L282" s="1" t="str">
        <f t="shared" ca="1" si="37"/>
        <v/>
      </c>
      <c r="M282" s="3" t="str">
        <f t="shared" ca="1" si="38"/>
        <v>Mantenimiento</v>
      </c>
    </row>
    <row r="283" spans="1:13" x14ac:dyDescent="0.3">
      <c r="A283" s="3">
        <f t="shared" si="32"/>
        <v>282</v>
      </c>
      <c r="B283" s="4">
        <f t="shared" ca="1" si="30"/>
        <v>45026</v>
      </c>
      <c r="C283" s="4" t="str">
        <f t="shared" ca="1" si="33"/>
        <v>2023-04</v>
      </c>
      <c r="D283" s="5">
        <f t="shared" ca="1" si="31"/>
        <v>0.3347222222222222</v>
      </c>
      <c r="E283" s="3" t="str" cm="1">
        <f t="array" aca="1" ref="E283" ca="1">INDEX(lista!$A$1:$A$12, RANDBETWEEN(1, 12))</f>
        <v>Bayóvar</v>
      </c>
      <c r="F283" s="3" t="s">
        <v>24</v>
      </c>
      <c r="G283" s="3" t="str" cm="1">
        <f t="array" aca="1" ref="G283" ca="1">INDEX(lista!$B$1:$B$6, RANDBETWEEN(1, 6))</f>
        <v>Escalera eléctrica</v>
      </c>
      <c r="H283" s="3" t="str" cm="1">
        <f t="array" aca="1" ref="H283" ca="1">INDEX(lista!$C$1:$C$4, RANDBETWEEN(1, 4))</f>
        <v>Falla eléctrica</v>
      </c>
      <c r="I283" s="3" t="str">
        <f t="shared" ca="1" si="34"/>
        <v>Media</v>
      </c>
      <c r="J283" s="3" t="str">
        <f t="shared" ca="1" si="35"/>
        <v>En curso</v>
      </c>
      <c r="K283" s="4" t="str">
        <f t="shared" ca="1" si="36"/>
        <v/>
      </c>
      <c r="L283" s="1" t="str">
        <f t="shared" ca="1" si="37"/>
        <v/>
      </c>
      <c r="M283" s="3" t="str">
        <f t="shared" ca="1" si="38"/>
        <v>Mantenimiento</v>
      </c>
    </row>
    <row r="284" spans="1:13" x14ac:dyDescent="0.3">
      <c r="A284" s="3">
        <f t="shared" si="32"/>
        <v>283</v>
      </c>
      <c r="B284" s="4">
        <f t="shared" ca="1" si="30"/>
        <v>45281</v>
      </c>
      <c r="C284" s="4" t="str">
        <f t="shared" ca="1" si="33"/>
        <v>2023-12</v>
      </c>
      <c r="D284" s="5">
        <f t="shared" ca="1" si="31"/>
        <v>0.18124999999999999</v>
      </c>
      <c r="E284" s="3" t="str" cm="1">
        <f t="array" aca="1" ref="E284" ca="1">INDEX(lista!$A$1:$A$12, RANDBETWEEN(1, 12))</f>
        <v>Bayóvar</v>
      </c>
      <c r="F284" s="3" t="s">
        <v>24</v>
      </c>
      <c r="G284" s="3" t="str" cm="1">
        <f t="array" aca="1" ref="G284" ca="1">INDEX(lista!$B$1:$B$6, RANDBETWEEN(1, 6))</f>
        <v>Torniquete</v>
      </c>
      <c r="H284" s="3" t="str" cm="1">
        <f t="array" aca="1" ref="H284" ca="1">INDEX(lista!$C$1:$C$4, RANDBETWEEN(1, 4))</f>
        <v>Falla mecánica</v>
      </c>
      <c r="I284" s="3" t="str">
        <f t="shared" ca="1" si="34"/>
        <v>Alta</v>
      </c>
      <c r="J284" s="3" t="str">
        <f t="shared" ca="1" si="35"/>
        <v>Pendiente</v>
      </c>
      <c r="K284" s="4" t="str">
        <f t="shared" ca="1" si="36"/>
        <v/>
      </c>
      <c r="L284" s="1" t="str">
        <f t="shared" ca="1" si="37"/>
        <v/>
      </c>
      <c r="M284" s="3" t="str">
        <f t="shared" ca="1" si="38"/>
        <v>Telecomunicaciones</v>
      </c>
    </row>
    <row r="285" spans="1:13" x14ac:dyDescent="0.3">
      <c r="A285" s="3">
        <f t="shared" si="32"/>
        <v>284</v>
      </c>
      <c r="B285" s="4">
        <f t="shared" ca="1" si="30"/>
        <v>45241</v>
      </c>
      <c r="C285" s="4" t="str">
        <f t="shared" ca="1" si="33"/>
        <v>2023-11</v>
      </c>
      <c r="D285" s="5">
        <f t="shared" ca="1" si="31"/>
        <v>0.2638888888888889</v>
      </c>
      <c r="E285" s="3" t="str" cm="1">
        <f t="array" aca="1" ref="E285" ca="1">INDEX(lista!$A$1:$A$12, RANDBETWEEN(1, 12))</f>
        <v>San Borja Sur</v>
      </c>
      <c r="F285" s="3" t="s">
        <v>24</v>
      </c>
      <c r="G285" s="3" t="str" cm="1">
        <f t="array" aca="1" ref="G285" ca="1">INDEX(lista!$B$1:$B$6, RANDBETWEEN(1, 6))</f>
        <v>Radio</v>
      </c>
      <c r="H285" s="3" t="str" cm="1">
        <f t="array" aca="1" ref="H285" ca="1">INDEX(lista!$C$1:$C$4, RANDBETWEEN(1, 4))</f>
        <v>Mantenimiento preventivo</v>
      </c>
      <c r="I285" s="3" t="str">
        <f t="shared" ca="1" si="34"/>
        <v>Media</v>
      </c>
      <c r="J285" s="3" t="str">
        <f t="shared" ca="1" si="35"/>
        <v>En curso</v>
      </c>
      <c r="K285" s="4" t="str">
        <f t="shared" ca="1" si="36"/>
        <v/>
      </c>
      <c r="L285" s="1" t="str">
        <f t="shared" ca="1" si="37"/>
        <v/>
      </c>
      <c r="M285" s="3" t="str">
        <f t="shared" ca="1" si="38"/>
        <v>Telecomunicaciones</v>
      </c>
    </row>
    <row r="286" spans="1:13" x14ac:dyDescent="0.3">
      <c r="A286" s="3">
        <f t="shared" si="32"/>
        <v>285</v>
      </c>
      <c r="B286" s="4">
        <f t="shared" ca="1" si="30"/>
        <v>45586</v>
      </c>
      <c r="C286" s="4" t="str">
        <f t="shared" ca="1" si="33"/>
        <v>2024-10</v>
      </c>
      <c r="D286" s="5">
        <f t="shared" ca="1" si="31"/>
        <v>0.29652777777777778</v>
      </c>
      <c r="E286" s="3" t="str" cm="1">
        <f t="array" aca="1" ref="E286" ca="1">INDEX(lista!$A$1:$A$12, RANDBETWEEN(1, 12))</f>
        <v>San Carlos</v>
      </c>
      <c r="F286" s="3" t="s">
        <v>24</v>
      </c>
      <c r="G286" s="3" t="str" cm="1">
        <f t="array" aca="1" ref="G286" ca="1">INDEX(lista!$B$1:$B$6, RANDBETWEEN(1, 6))</f>
        <v>TVM</v>
      </c>
      <c r="H286" s="3" t="str" cm="1">
        <f t="array" aca="1" ref="H286" ca="1">INDEX(lista!$C$1:$C$4, RANDBETWEEN(1, 4))</f>
        <v>Falla eléctrica</v>
      </c>
      <c r="I286" s="3" t="str">
        <f t="shared" ca="1" si="34"/>
        <v>Baja</v>
      </c>
      <c r="J286" s="3" t="str">
        <f t="shared" ca="1" si="35"/>
        <v>Atendida</v>
      </c>
      <c r="K286" s="4">
        <f t="shared" ca="1" si="36"/>
        <v>45586</v>
      </c>
      <c r="L286" s="1">
        <f t="shared" ca="1" si="37"/>
        <v>23</v>
      </c>
      <c r="M286" s="3" t="str">
        <f t="shared" ca="1" si="38"/>
        <v>Telecomunicaciones</v>
      </c>
    </row>
    <row r="287" spans="1:13" x14ac:dyDescent="0.3">
      <c r="A287" s="3">
        <f t="shared" si="32"/>
        <v>286</v>
      </c>
      <c r="B287" s="4">
        <f t="shared" ca="1" si="30"/>
        <v>45592</v>
      </c>
      <c r="C287" s="4" t="str">
        <f t="shared" ca="1" si="33"/>
        <v>2024-10</v>
      </c>
      <c r="D287" s="5">
        <f t="shared" ca="1" si="31"/>
        <v>0.90069444444444446</v>
      </c>
      <c r="E287" s="3" t="str" cm="1">
        <f t="array" aca="1" ref="E287" ca="1">INDEX(lista!$A$1:$A$12, RANDBETWEEN(1, 12))</f>
        <v>Santa Rosa</v>
      </c>
      <c r="F287" s="3" t="s">
        <v>24</v>
      </c>
      <c r="G287" s="3" t="str" cm="1">
        <f t="array" aca="1" ref="G287" ca="1">INDEX(lista!$B$1:$B$6, RANDBETWEEN(1, 6))</f>
        <v>Escalera eléctrica</v>
      </c>
      <c r="H287" s="3" t="str" cm="1">
        <f t="array" aca="1" ref="H287" ca="1">INDEX(lista!$C$1:$C$4, RANDBETWEEN(1, 4))</f>
        <v>Falla mecánica</v>
      </c>
      <c r="I287" s="3" t="str">
        <f t="shared" ca="1" si="34"/>
        <v>Alta</v>
      </c>
      <c r="J287" s="3" t="str">
        <f t="shared" ca="1" si="35"/>
        <v>En curso</v>
      </c>
      <c r="K287" s="4" t="str">
        <f t="shared" ca="1" si="36"/>
        <v/>
      </c>
      <c r="L287" s="1" t="str">
        <f t="shared" ca="1" si="37"/>
        <v/>
      </c>
      <c r="M287" s="3" t="str">
        <f t="shared" ca="1" si="38"/>
        <v>Mantenimiento</v>
      </c>
    </row>
    <row r="288" spans="1:13" x14ac:dyDescent="0.3">
      <c r="A288" s="3">
        <f t="shared" si="32"/>
        <v>287</v>
      </c>
      <c r="B288" s="4">
        <f t="shared" ca="1" si="30"/>
        <v>45441</v>
      </c>
      <c r="C288" s="4" t="str">
        <f t="shared" ca="1" si="33"/>
        <v>2024-05</v>
      </c>
      <c r="D288" s="5">
        <f t="shared" ca="1" si="31"/>
        <v>0.96111111111111114</v>
      </c>
      <c r="E288" s="3" t="str" cm="1">
        <f t="array" aca="1" ref="E288" ca="1">INDEX(lista!$A$1:$A$12, RANDBETWEEN(1, 12))</f>
        <v>San Carlos</v>
      </c>
      <c r="F288" s="3" t="s">
        <v>24</v>
      </c>
      <c r="G288" s="3" t="str" cm="1">
        <f t="array" aca="1" ref="G288" ca="1">INDEX(lista!$B$1:$B$6, RANDBETWEEN(1, 6))</f>
        <v>MET</v>
      </c>
      <c r="H288" s="3" t="str" cm="1">
        <f t="array" aca="1" ref="H288" ca="1">INDEX(lista!$C$1:$C$4, RANDBETWEEN(1, 4))</f>
        <v>Falla mecánica</v>
      </c>
      <c r="I288" s="3" t="str">
        <f t="shared" ca="1" si="34"/>
        <v>Baja</v>
      </c>
      <c r="J288" s="3" t="str">
        <f t="shared" ca="1" si="35"/>
        <v>En curso</v>
      </c>
      <c r="K288" s="4" t="str">
        <f t="shared" ca="1" si="36"/>
        <v/>
      </c>
      <c r="L288" s="1" t="str">
        <f t="shared" ca="1" si="37"/>
        <v/>
      </c>
      <c r="M288" s="3" t="str">
        <f t="shared" ca="1" si="38"/>
        <v>Telecomunicaciones</v>
      </c>
    </row>
    <row r="289" spans="1:13" x14ac:dyDescent="0.3">
      <c r="A289" s="3">
        <f t="shared" si="32"/>
        <v>288</v>
      </c>
      <c r="B289" s="4">
        <f t="shared" ca="1" si="30"/>
        <v>45130</v>
      </c>
      <c r="C289" s="4" t="str">
        <f t="shared" ca="1" si="33"/>
        <v>2023-07</v>
      </c>
      <c r="D289" s="5">
        <f t="shared" ca="1" si="31"/>
        <v>0.28749999999999998</v>
      </c>
      <c r="E289" s="3" t="str" cm="1">
        <f t="array" aca="1" ref="E289" ca="1">INDEX(lista!$A$1:$A$12, RANDBETWEEN(1, 12))</f>
        <v>Atocongo</v>
      </c>
      <c r="F289" s="3" t="s">
        <v>24</v>
      </c>
      <c r="G289" s="3" t="str" cm="1">
        <f t="array" aca="1" ref="G289" ca="1">INDEX(lista!$B$1:$B$6, RANDBETWEEN(1, 6))</f>
        <v>TVM</v>
      </c>
      <c r="H289" s="3" t="str" cm="1">
        <f t="array" aca="1" ref="H289" ca="1">INDEX(lista!$C$1:$C$4, RANDBETWEEN(1, 4))</f>
        <v>Falla mecánica</v>
      </c>
      <c r="I289" s="3" t="str">
        <f t="shared" ca="1" si="34"/>
        <v>Media</v>
      </c>
      <c r="J289" s="3" t="str">
        <f t="shared" ca="1" si="35"/>
        <v>Atendida</v>
      </c>
      <c r="K289" s="4">
        <f t="shared" ca="1" si="36"/>
        <v>45132</v>
      </c>
      <c r="L289" s="1">
        <f t="shared" ca="1" si="37"/>
        <v>17</v>
      </c>
      <c r="M289" s="3" t="str">
        <f t="shared" ca="1" si="38"/>
        <v>Telecomunicaciones</v>
      </c>
    </row>
    <row r="290" spans="1:13" x14ac:dyDescent="0.3">
      <c r="A290" s="3">
        <f t="shared" si="32"/>
        <v>289</v>
      </c>
      <c r="B290" s="4">
        <f t="shared" ca="1" si="30"/>
        <v>45549</v>
      </c>
      <c r="C290" s="4" t="str">
        <f t="shared" ca="1" si="33"/>
        <v>2024-09</v>
      </c>
      <c r="D290" s="5">
        <f t="shared" ca="1" si="31"/>
        <v>0.3305555555555556</v>
      </c>
      <c r="E290" s="3" t="str" cm="1">
        <f t="array" aca="1" ref="E290" ca="1">INDEX(lista!$A$1:$A$12, RANDBETWEEN(1, 12))</f>
        <v>Villa El Salvador</v>
      </c>
      <c r="F290" s="3" t="s">
        <v>24</v>
      </c>
      <c r="G290" s="3" t="str" cm="1">
        <f t="array" aca="1" ref="G290" ca="1">INDEX(lista!$B$1:$B$6, RANDBETWEEN(1, 6))</f>
        <v>TVM</v>
      </c>
      <c r="H290" s="3" t="str" cm="1">
        <f t="array" aca="1" ref="H290" ca="1">INDEX(lista!$C$1:$C$4, RANDBETWEEN(1, 4))</f>
        <v>Falla eléctrica</v>
      </c>
      <c r="I290" s="3" t="str">
        <f t="shared" ca="1" si="34"/>
        <v>Baja</v>
      </c>
      <c r="J290" s="3" t="str">
        <f t="shared" ca="1" si="35"/>
        <v>Atendida</v>
      </c>
      <c r="K290" s="4">
        <f t="shared" ca="1" si="36"/>
        <v>45549</v>
      </c>
      <c r="L290" s="1">
        <f t="shared" ca="1" si="37"/>
        <v>2</v>
      </c>
      <c r="M290" s="3" t="str">
        <f t="shared" ca="1" si="38"/>
        <v>Telecomunicaciones</v>
      </c>
    </row>
    <row r="291" spans="1:13" x14ac:dyDescent="0.3">
      <c r="A291" s="3">
        <f t="shared" si="32"/>
        <v>290</v>
      </c>
      <c r="B291" s="4">
        <f t="shared" ca="1" si="30"/>
        <v>45402</v>
      </c>
      <c r="C291" s="4" t="str">
        <f t="shared" ca="1" si="33"/>
        <v>2024-04</v>
      </c>
      <c r="D291" s="5">
        <f t="shared" ca="1" si="31"/>
        <v>8.8194444444444436E-2</v>
      </c>
      <c r="E291" s="3" t="str" cm="1">
        <f t="array" aca="1" ref="E291" ca="1">INDEX(lista!$A$1:$A$12, RANDBETWEEN(1, 12))</f>
        <v>Gamarra</v>
      </c>
      <c r="F291" s="3" t="s">
        <v>24</v>
      </c>
      <c r="G291" s="3" t="str" cm="1">
        <f t="array" aca="1" ref="G291" ca="1">INDEX(lista!$B$1:$B$6, RANDBETWEEN(1, 6))</f>
        <v>TVM</v>
      </c>
      <c r="H291" s="3" t="str" cm="1">
        <f t="array" aca="1" ref="H291" ca="1">INDEX(lista!$C$1:$C$4, RANDBETWEEN(1, 4))</f>
        <v>Mantenimiento preventivo</v>
      </c>
      <c r="I291" s="3" t="str">
        <f t="shared" ca="1" si="34"/>
        <v>Baja</v>
      </c>
      <c r="J291" s="3" t="str">
        <f t="shared" ca="1" si="35"/>
        <v>Atendida</v>
      </c>
      <c r="K291" s="4">
        <f t="shared" ca="1" si="36"/>
        <v>45402</v>
      </c>
      <c r="L291" s="1">
        <f t="shared" ca="1" si="37"/>
        <v>16</v>
      </c>
      <c r="M291" s="3" t="str">
        <f t="shared" ca="1" si="38"/>
        <v>Telecomunicaciones</v>
      </c>
    </row>
    <row r="292" spans="1:13" x14ac:dyDescent="0.3">
      <c r="A292" s="3">
        <f t="shared" si="32"/>
        <v>291</v>
      </c>
      <c r="B292" s="4">
        <f t="shared" ca="1" si="30"/>
        <v>45240</v>
      </c>
      <c r="C292" s="4" t="str">
        <f t="shared" ca="1" si="33"/>
        <v>2023-11</v>
      </c>
      <c r="D292" s="5">
        <f t="shared" ca="1" si="31"/>
        <v>0.27777777777777779</v>
      </c>
      <c r="E292" s="3" t="str" cm="1">
        <f t="array" aca="1" ref="E292" ca="1">INDEX(lista!$A$1:$A$12, RANDBETWEEN(1, 12))</f>
        <v>Atocongo</v>
      </c>
      <c r="F292" s="3" t="s">
        <v>24</v>
      </c>
      <c r="G292" s="3" t="str" cm="1">
        <f t="array" aca="1" ref="G292" ca="1">INDEX(lista!$B$1:$B$6, RANDBETWEEN(1, 6))</f>
        <v>Radio</v>
      </c>
      <c r="H292" s="3" t="str" cm="1">
        <f t="array" aca="1" ref="H292" ca="1">INDEX(lista!$C$1:$C$4, RANDBETWEEN(1, 4))</f>
        <v>Mantenimiento preventivo</v>
      </c>
      <c r="I292" s="3" t="str">
        <f t="shared" ca="1" si="34"/>
        <v>Baja</v>
      </c>
      <c r="J292" s="3" t="str">
        <f t="shared" ca="1" si="35"/>
        <v>Atendida</v>
      </c>
      <c r="K292" s="4">
        <f t="shared" ca="1" si="36"/>
        <v>45242</v>
      </c>
      <c r="L292" s="1">
        <f t="shared" ca="1" si="37"/>
        <v>23</v>
      </c>
      <c r="M292" s="3" t="str">
        <f t="shared" ca="1" si="38"/>
        <v>Telecomunicaciones</v>
      </c>
    </row>
    <row r="293" spans="1:13" x14ac:dyDescent="0.3">
      <c r="A293" s="3">
        <f t="shared" si="32"/>
        <v>292</v>
      </c>
      <c r="B293" s="4">
        <f t="shared" ca="1" si="30"/>
        <v>45400</v>
      </c>
      <c r="C293" s="4" t="str">
        <f t="shared" ca="1" si="33"/>
        <v>2024-04</v>
      </c>
      <c r="D293" s="5">
        <f t="shared" ca="1" si="31"/>
        <v>7.6388888888888886E-3</v>
      </c>
      <c r="E293" s="3" t="str" cm="1">
        <f t="array" aca="1" ref="E293" ca="1">INDEX(lista!$A$1:$A$12, RANDBETWEEN(1, 12))</f>
        <v>Cabitos</v>
      </c>
      <c r="F293" s="3" t="s">
        <v>24</v>
      </c>
      <c r="G293" s="3" t="str" cm="1">
        <f t="array" aca="1" ref="G293" ca="1">INDEX(lista!$B$1:$B$6, RANDBETWEEN(1, 6))</f>
        <v>Torniquete</v>
      </c>
      <c r="H293" s="3" t="str" cm="1">
        <f t="array" aca="1" ref="H293" ca="1">INDEX(lista!$C$1:$C$4, RANDBETWEEN(1, 4))</f>
        <v>Falla eléctrica</v>
      </c>
      <c r="I293" s="3" t="str">
        <f t="shared" ca="1" si="34"/>
        <v>Media</v>
      </c>
      <c r="J293" s="3" t="str">
        <f t="shared" ca="1" si="35"/>
        <v>En curso</v>
      </c>
      <c r="K293" s="4" t="str">
        <f t="shared" ca="1" si="36"/>
        <v/>
      </c>
      <c r="L293" s="1" t="str">
        <f t="shared" ca="1" si="37"/>
        <v/>
      </c>
      <c r="M293" s="3" t="str">
        <f t="shared" ca="1" si="38"/>
        <v>Telecomunicaciones</v>
      </c>
    </row>
    <row r="294" spans="1:13" x14ac:dyDescent="0.3">
      <c r="A294" s="3">
        <f t="shared" si="32"/>
        <v>293</v>
      </c>
      <c r="B294" s="4">
        <f t="shared" ca="1" si="30"/>
        <v>45290</v>
      </c>
      <c r="C294" s="4" t="str">
        <f t="shared" ca="1" si="33"/>
        <v>2023-12</v>
      </c>
      <c r="D294" s="5">
        <f t="shared" ca="1" si="31"/>
        <v>0.96875</v>
      </c>
      <c r="E294" s="3" t="str" cm="1">
        <f t="array" aca="1" ref="E294" ca="1">INDEX(lista!$A$1:$A$12, RANDBETWEEN(1, 12))</f>
        <v>San Carlos</v>
      </c>
      <c r="F294" s="3" t="s">
        <v>24</v>
      </c>
      <c r="G294" s="3" t="str" cm="1">
        <f t="array" aca="1" ref="G294" ca="1">INDEX(lista!$B$1:$B$6, RANDBETWEEN(1, 6))</f>
        <v>Ascensor</v>
      </c>
      <c r="H294" s="3" t="str" cm="1">
        <f t="array" aca="1" ref="H294" ca="1">INDEX(lista!$C$1:$C$4, RANDBETWEEN(1, 4))</f>
        <v>Daño en infraestructura</v>
      </c>
      <c r="I294" s="3" t="str">
        <f t="shared" ca="1" si="34"/>
        <v>Alta</v>
      </c>
      <c r="J294" s="3" t="str">
        <f t="shared" ca="1" si="35"/>
        <v>Pendiente</v>
      </c>
      <c r="K294" s="4" t="str">
        <f t="shared" ca="1" si="36"/>
        <v/>
      </c>
      <c r="L294" s="1" t="str">
        <f t="shared" ca="1" si="37"/>
        <v/>
      </c>
      <c r="M294" s="3" t="str">
        <f t="shared" ca="1" si="38"/>
        <v>Mantenimiento</v>
      </c>
    </row>
    <row r="295" spans="1:13" x14ac:dyDescent="0.3">
      <c r="A295" s="3">
        <f t="shared" si="32"/>
        <v>294</v>
      </c>
      <c r="B295" s="4">
        <f t="shared" ca="1" si="30"/>
        <v>45623</v>
      </c>
      <c r="C295" s="4" t="str">
        <f t="shared" ca="1" si="33"/>
        <v>2024-11</v>
      </c>
      <c r="D295" s="5">
        <f t="shared" ca="1" si="31"/>
        <v>0.33194444444444449</v>
      </c>
      <c r="E295" s="3" t="str" cm="1">
        <f t="array" aca="1" ref="E295" ca="1">INDEX(lista!$A$1:$A$12, RANDBETWEEN(1, 12))</f>
        <v>Bayóvar</v>
      </c>
      <c r="F295" s="3" t="s">
        <v>24</v>
      </c>
      <c r="G295" s="3" t="str" cm="1">
        <f t="array" aca="1" ref="G295" ca="1">INDEX(lista!$B$1:$B$6, RANDBETWEEN(1, 6))</f>
        <v>Torniquete</v>
      </c>
      <c r="H295" s="3" t="str" cm="1">
        <f t="array" aca="1" ref="H295" ca="1">INDEX(lista!$C$1:$C$4, RANDBETWEEN(1, 4))</f>
        <v>Mantenimiento preventivo</v>
      </c>
      <c r="I295" s="3" t="str">
        <f t="shared" ca="1" si="34"/>
        <v>Alta</v>
      </c>
      <c r="J295" s="3" t="str">
        <f t="shared" ca="1" si="35"/>
        <v>Atendida</v>
      </c>
      <c r="K295" s="4">
        <f t="shared" ca="1" si="36"/>
        <v>45625</v>
      </c>
      <c r="L295" s="1">
        <f t="shared" ca="1" si="37"/>
        <v>21</v>
      </c>
      <c r="M295" s="3" t="str">
        <f t="shared" ca="1" si="38"/>
        <v>Telecomunicaciones</v>
      </c>
    </row>
    <row r="296" spans="1:13" x14ac:dyDescent="0.3">
      <c r="A296" s="3">
        <f t="shared" si="32"/>
        <v>295</v>
      </c>
      <c r="B296" s="4">
        <f t="shared" ca="1" si="30"/>
        <v>45520</v>
      </c>
      <c r="C296" s="4" t="str">
        <f t="shared" ca="1" si="33"/>
        <v>2024-08</v>
      </c>
      <c r="D296" s="5">
        <f t="shared" ca="1" si="31"/>
        <v>0.52361111111111114</v>
      </c>
      <c r="E296" s="3" t="str" cm="1">
        <f t="array" aca="1" ref="E296" ca="1">INDEX(lista!$A$1:$A$12, RANDBETWEEN(1, 12))</f>
        <v>San Borja Sur</v>
      </c>
      <c r="F296" s="3" t="s">
        <v>24</v>
      </c>
      <c r="G296" s="3" t="str" cm="1">
        <f t="array" aca="1" ref="G296" ca="1">INDEX(lista!$B$1:$B$6, RANDBETWEEN(1, 6))</f>
        <v>Torniquete</v>
      </c>
      <c r="H296" s="3" t="str" cm="1">
        <f t="array" aca="1" ref="H296" ca="1">INDEX(lista!$C$1:$C$4, RANDBETWEEN(1, 4))</f>
        <v>Daño en infraestructura</v>
      </c>
      <c r="I296" s="3" t="str">
        <f t="shared" ca="1" si="34"/>
        <v>Media</v>
      </c>
      <c r="J296" s="3" t="str">
        <f t="shared" ca="1" si="35"/>
        <v>Pendiente</v>
      </c>
      <c r="K296" s="4" t="str">
        <f t="shared" ca="1" si="36"/>
        <v/>
      </c>
      <c r="L296" s="1" t="str">
        <f t="shared" ca="1" si="37"/>
        <v/>
      </c>
      <c r="M296" s="3" t="str">
        <f t="shared" ca="1" si="38"/>
        <v>Telecomunicaciones</v>
      </c>
    </row>
    <row r="297" spans="1:13" x14ac:dyDescent="0.3">
      <c r="A297" s="3">
        <f t="shared" si="32"/>
        <v>296</v>
      </c>
      <c r="B297" s="4">
        <f t="shared" ca="1" si="30"/>
        <v>45546</v>
      </c>
      <c r="C297" s="4" t="str">
        <f t="shared" ca="1" si="33"/>
        <v>2024-09</v>
      </c>
      <c r="D297" s="5">
        <f t="shared" ca="1" si="31"/>
        <v>0.39027777777777778</v>
      </c>
      <c r="E297" s="3" t="str" cm="1">
        <f t="array" aca="1" ref="E297" ca="1">INDEX(lista!$A$1:$A$12, RANDBETWEEN(1, 12))</f>
        <v>Gamarra</v>
      </c>
      <c r="F297" s="3" t="s">
        <v>24</v>
      </c>
      <c r="G297" s="3" t="str" cm="1">
        <f t="array" aca="1" ref="G297" ca="1">INDEX(lista!$B$1:$B$6, RANDBETWEEN(1, 6))</f>
        <v>MET</v>
      </c>
      <c r="H297" s="3" t="str" cm="1">
        <f t="array" aca="1" ref="H297" ca="1">INDEX(lista!$C$1:$C$4, RANDBETWEEN(1, 4))</f>
        <v>Falla mecánica</v>
      </c>
      <c r="I297" s="3" t="str">
        <f t="shared" ca="1" si="34"/>
        <v>Alta</v>
      </c>
      <c r="J297" s="3" t="str">
        <f t="shared" ca="1" si="35"/>
        <v>Pendiente</v>
      </c>
      <c r="K297" s="4" t="str">
        <f t="shared" ca="1" si="36"/>
        <v/>
      </c>
      <c r="L297" s="1" t="str">
        <f t="shared" ca="1" si="37"/>
        <v/>
      </c>
      <c r="M297" s="3" t="str">
        <f t="shared" ca="1" si="38"/>
        <v>Telecomunicaciones</v>
      </c>
    </row>
    <row r="298" spans="1:13" x14ac:dyDescent="0.3">
      <c r="A298" s="3">
        <f t="shared" si="32"/>
        <v>297</v>
      </c>
      <c r="B298" s="4">
        <f t="shared" ca="1" si="30"/>
        <v>45604</v>
      </c>
      <c r="C298" s="4" t="str">
        <f t="shared" ca="1" si="33"/>
        <v>2024-11</v>
      </c>
      <c r="D298" s="5">
        <f t="shared" ca="1" si="31"/>
        <v>0.94305555555555554</v>
      </c>
      <c r="E298" s="3" t="str" cm="1">
        <f t="array" aca="1" ref="E298" ca="1">INDEX(lista!$A$1:$A$12, RANDBETWEEN(1, 12))</f>
        <v>San Borja Sur</v>
      </c>
      <c r="F298" s="3" t="s">
        <v>24</v>
      </c>
      <c r="G298" s="3" t="str" cm="1">
        <f t="array" aca="1" ref="G298" ca="1">INDEX(lista!$B$1:$B$6, RANDBETWEEN(1, 6))</f>
        <v>MET</v>
      </c>
      <c r="H298" s="3" t="str" cm="1">
        <f t="array" aca="1" ref="H298" ca="1">INDEX(lista!$C$1:$C$4, RANDBETWEEN(1, 4))</f>
        <v>Falla mecánica</v>
      </c>
      <c r="I298" s="3" t="str">
        <f t="shared" ca="1" si="34"/>
        <v>Alta</v>
      </c>
      <c r="J298" s="3" t="str">
        <f t="shared" ca="1" si="35"/>
        <v>Atendida</v>
      </c>
      <c r="K298" s="4">
        <f t="shared" ca="1" si="36"/>
        <v>45604</v>
      </c>
      <c r="L298" s="1">
        <f t="shared" ca="1" si="37"/>
        <v>18</v>
      </c>
      <c r="M298" s="3" t="str">
        <f t="shared" ca="1" si="38"/>
        <v>Telecomunicaciones</v>
      </c>
    </row>
    <row r="299" spans="1:13" x14ac:dyDescent="0.3">
      <c r="A299" s="3">
        <f t="shared" si="32"/>
        <v>298</v>
      </c>
      <c r="B299" s="4">
        <f t="shared" ca="1" si="30"/>
        <v>45142</v>
      </c>
      <c r="C299" s="4" t="str">
        <f t="shared" ca="1" si="33"/>
        <v>2023-08</v>
      </c>
      <c r="D299" s="5">
        <f t="shared" ca="1" si="31"/>
        <v>0.20624999999999999</v>
      </c>
      <c r="E299" s="3" t="str" cm="1">
        <f t="array" aca="1" ref="E299" ca="1">INDEX(lista!$A$1:$A$12, RANDBETWEEN(1, 12))</f>
        <v>La Cultura</v>
      </c>
      <c r="F299" s="3" t="s">
        <v>24</v>
      </c>
      <c r="G299" s="3" t="str" cm="1">
        <f t="array" aca="1" ref="G299" ca="1">INDEX(lista!$B$1:$B$6, RANDBETWEEN(1, 6))</f>
        <v>Torniquete</v>
      </c>
      <c r="H299" s="3" t="str" cm="1">
        <f t="array" aca="1" ref="H299" ca="1">INDEX(lista!$C$1:$C$4, RANDBETWEEN(1, 4))</f>
        <v>Falla mecánica</v>
      </c>
      <c r="I299" s="3" t="str">
        <f t="shared" ca="1" si="34"/>
        <v>Media</v>
      </c>
      <c r="J299" s="3" t="str">
        <f t="shared" ca="1" si="35"/>
        <v>En curso</v>
      </c>
      <c r="K299" s="4" t="str">
        <f t="shared" ca="1" si="36"/>
        <v/>
      </c>
      <c r="L299" s="1" t="str">
        <f t="shared" ca="1" si="37"/>
        <v/>
      </c>
      <c r="M299" s="3" t="str">
        <f t="shared" ca="1" si="38"/>
        <v>Telecomunicaciones</v>
      </c>
    </row>
    <row r="300" spans="1:13" x14ac:dyDescent="0.3">
      <c r="A300" s="3">
        <f t="shared" si="32"/>
        <v>299</v>
      </c>
      <c r="B300" s="4">
        <f t="shared" ca="1" si="30"/>
        <v>45523</v>
      </c>
      <c r="C300" s="4" t="str">
        <f t="shared" ca="1" si="33"/>
        <v>2024-08</v>
      </c>
      <c r="D300" s="5">
        <f t="shared" ca="1" si="31"/>
        <v>0.20208333333333334</v>
      </c>
      <c r="E300" s="3" t="str" cm="1">
        <f t="array" aca="1" ref="E300" ca="1">INDEX(lista!$A$1:$A$12, RANDBETWEEN(1, 12))</f>
        <v>San Carlos</v>
      </c>
      <c r="F300" s="3" t="s">
        <v>24</v>
      </c>
      <c r="G300" s="3" t="str" cm="1">
        <f t="array" aca="1" ref="G300" ca="1">INDEX(lista!$B$1:$B$6, RANDBETWEEN(1, 6))</f>
        <v>MET</v>
      </c>
      <c r="H300" s="3" t="str" cm="1">
        <f t="array" aca="1" ref="H300" ca="1">INDEX(lista!$C$1:$C$4, RANDBETWEEN(1, 4))</f>
        <v>Falla eléctrica</v>
      </c>
      <c r="I300" s="3" t="str">
        <f t="shared" ca="1" si="34"/>
        <v>Media</v>
      </c>
      <c r="J300" s="3" t="str">
        <f t="shared" ca="1" si="35"/>
        <v>Atendida</v>
      </c>
      <c r="K300" s="4">
        <f t="shared" ca="1" si="36"/>
        <v>45523</v>
      </c>
      <c r="L300" s="1">
        <f t="shared" ca="1" si="37"/>
        <v>12</v>
      </c>
      <c r="M300" s="3" t="str">
        <f t="shared" ca="1" si="38"/>
        <v>Telecomunicaciones</v>
      </c>
    </row>
    <row r="301" spans="1:13" x14ac:dyDescent="0.3">
      <c r="A301" s="3">
        <f t="shared" si="32"/>
        <v>300</v>
      </c>
      <c r="B301" s="4">
        <f t="shared" ca="1" si="30"/>
        <v>45105</v>
      </c>
      <c r="C301" s="4" t="str">
        <f t="shared" ca="1" si="33"/>
        <v>2023-06</v>
      </c>
      <c r="D301" s="5">
        <f t="shared" ca="1" si="31"/>
        <v>0.84375</v>
      </c>
      <c r="E301" s="3" t="str" cm="1">
        <f t="array" aca="1" ref="E301" ca="1">INDEX(lista!$A$1:$A$12, RANDBETWEEN(1, 12))</f>
        <v>Cabitos</v>
      </c>
      <c r="F301" s="3" t="s">
        <v>24</v>
      </c>
      <c r="G301" s="3" t="str" cm="1">
        <f t="array" aca="1" ref="G301" ca="1">INDEX(lista!$B$1:$B$6, RANDBETWEEN(1, 6))</f>
        <v>Radio</v>
      </c>
      <c r="H301" s="3" t="str" cm="1">
        <f t="array" aca="1" ref="H301" ca="1">INDEX(lista!$C$1:$C$4, RANDBETWEEN(1, 4))</f>
        <v>Falla mecánica</v>
      </c>
      <c r="I301" s="3" t="str">
        <f t="shared" ca="1" si="34"/>
        <v>Alta</v>
      </c>
      <c r="J301" s="3" t="str">
        <f t="shared" ca="1" si="35"/>
        <v>Atendida</v>
      </c>
      <c r="K301" s="4">
        <f t="shared" ca="1" si="36"/>
        <v>45105</v>
      </c>
      <c r="L301" s="1">
        <f t="shared" ca="1" si="37"/>
        <v>4</v>
      </c>
      <c r="M301" s="3" t="str">
        <f t="shared" ca="1" si="38"/>
        <v>Telecomunicaciones</v>
      </c>
    </row>
    <row r="302" spans="1:13" x14ac:dyDescent="0.3">
      <c r="A302" s="3">
        <f t="shared" si="32"/>
        <v>301</v>
      </c>
      <c r="B302" s="4">
        <f t="shared" ca="1" si="30"/>
        <v>45632</v>
      </c>
      <c r="C302" s="4" t="str">
        <f t="shared" ca="1" si="33"/>
        <v>2024-12</v>
      </c>
      <c r="D302" s="5">
        <f t="shared" ca="1" si="31"/>
        <v>0.8833333333333333</v>
      </c>
      <c r="E302" s="3" t="str" cm="1">
        <f t="array" aca="1" ref="E302" ca="1">INDEX(lista!$A$1:$A$12, RANDBETWEEN(1, 12))</f>
        <v>Ayacucho</v>
      </c>
      <c r="F302" s="3" t="s">
        <v>24</v>
      </c>
      <c r="G302" s="3" t="str" cm="1">
        <f t="array" aca="1" ref="G302" ca="1">INDEX(lista!$B$1:$B$6, RANDBETWEEN(1, 6))</f>
        <v>MET</v>
      </c>
      <c r="H302" s="3" t="str" cm="1">
        <f t="array" aca="1" ref="H302" ca="1">INDEX(lista!$C$1:$C$4, RANDBETWEEN(1, 4))</f>
        <v>Mantenimiento preventivo</v>
      </c>
      <c r="I302" s="3" t="str">
        <f t="shared" ca="1" si="34"/>
        <v>Media</v>
      </c>
      <c r="J302" s="3" t="str">
        <f t="shared" ca="1" si="35"/>
        <v>Atendida</v>
      </c>
      <c r="K302" s="4">
        <f t="shared" ca="1" si="36"/>
        <v>45632</v>
      </c>
      <c r="L302" s="1">
        <f t="shared" ca="1" si="37"/>
        <v>12</v>
      </c>
      <c r="M302" s="3" t="str">
        <f t="shared" ca="1" si="38"/>
        <v>Telecomunicaciones</v>
      </c>
    </row>
    <row r="303" spans="1:13" x14ac:dyDescent="0.3">
      <c r="A303" s="3">
        <f t="shared" si="32"/>
        <v>302</v>
      </c>
      <c r="B303" s="4">
        <f t="shared" ca="1" si="30"/>
        <v>44971</v>
      </c>
      <c r="C303" s="4" t="str">
        <f t="shared" ca="1" si="33"/>
        <v>2023-02</v>
      </c>
      <c r="D303" s="5">
        <f t="shared" ca="1" si="31"/>
        <v>0.87361111111111112</v>
      </c>
      <c r="E303" s="3" t="str" cm="1">
        <f t="array" aca="1" ref="E303" ca="1">INDEX(lista!$A$1:$A$12, RANDBETWEEN(1, 12))</f>
        <v>Villa El Salvador</v>
      </c>
      <c r="F303" s="3" t="s">
        <v>24</v>
      </c>
      <c r="G303" s="3" t="str" cm="1">
        <f t="array" aca="1" ref="G303" ca="1">INDEX(lista!$B$1:$B$6, RANDBETWEEN(1, 6))</f>
        <v>MET</v>
      </c>
      <c r="H303" s="3" t="str" cm="1">
        <f t="array" aca="1" ref="H303" ca="1">INDEX(lista!$C$1:$C$4, RANDBETWEEN(1, 4))</f>
        <v>Falla mecánica</v>
      </c>
      <c r="I303" s="3" t="str">
        <f t="shared" ca="1" si="34"/>
        <v>Alta</v>
      </c>
      <c r="J303" s="3" t="str">
        <f t="shared" ca="1" si="35"/>
        <v>En curso</v>
      </c>
      <c r="K303" s="4" t="str">
        <f t="shared" ca="1" si="36"/>
        <v/>
      </c>
      <c r="L303" s="1" t="str">
        <f t="shared" ca="1" si="37"/>
        <v/>
      </c>
      <c r="M303" s="3" t="str">
        <f t="shared" ca="1" si="38"/>
        <v>Telecomunicaciones</v>
      </c>
    </row>
    <row r="304" spans="1:13" x14ac:dyDescent="0.3">
      <c r="A304" s="3">
        <f t="shared" si="32"/>
        <v>303</v>
      </c>
      <c r="B304" s="4">
        <f t="shared" ca="1" si="30"/>
        <v>45191</v>
      </c>
      <c r="C304" s="4" t="str">
        <f t="shared" ca="1" si="33"/>
        <v>2023-09</v>
      </c>
      <c r="D304" s="5">
        <f t="shared" ca="1" si="31"/>
        <v>0.57430555555555551</v>
      </c>
      <c r="E304" s="3" t="str" cm="1">
        <f t="array" aca="1" ref="E304" ca="1">INDEX(lista!$A$1:$A$12, RANDBETWEEN(1, 12))</f>
        <v>Bayóvar</v>
      </c>
      <c r="F304" s="3" t="s">
        <v>24</v>
      </c>
      <c r="G304" s="3" t="str" cm="1">
        <f t="array" aca="1" ref="G304" ca="1">INDEX(lista!$B$1:$B$6, RANDBETWEEN(1, 6))</f>
        <v>Torniquete</v>
      </c>
      <c r="H304" s="3" t="str" cm="1">
        <f t="array" aca="1" ref="H304" ca="1">INDEX(lista!$C$1:$C$4, RANDBETWEEN(1, 4))</f>
        <v>Falla eléctrica</v>
      </c>
      <c r="I304" s="3" t="str">
        <f t="shared" ca="1" si="34"/>
        <v>Media</v>
      </c>
      <c r="J304" s="3" t="str">
        <f t="shared" ca="1" si="35"/>
        <v>Pendiente</v>
      </c>
      <c r="K304" s="4" t="str">
        <f t="shared" ca="1" si="36"/>
        <v/>
      </c>
      <c r="L304" s="1" t="str">
        <f t="shared" ca="1" si="37"/>
        <v/>
      </c>
      <c r="M304" s="3" t="str">
        <f t="shared" ca="1" si="38"/>
        <v>Telecomunicaciones</v>
      </c>
    </row>
    <row r="305" spans="1:13" x14ac:dyDescent="0.3">
      <c r="A305" s="3">
        <f t="shared" si="32"/>
        <v>304</v>
      </c>
      <c r="B305" s="4">
        <f t="shared" ca="1" si="30"/>
        <v>45277</v>
      </c>
      <c r="C305" s="4" t="str">
        <f t="shared" ca="1" si="33"/>
        <v>2023-12</v>
      </c>
      <c r="D305" s="5">
        <f t="shared" ca="1" si="31"/>
        <v>0.84444444444444444</v>
      </c>
      <c r="E305" s="3" t="str" cm="1">
        <f t="array" aca="1" ref="E305" ca="1">INDEX(lista!$A$1:$A$12, RANDBETWEEN(1, 12))</f>
        <v>Gamarra</v>
      </c>
      <c r="F305" s="3" t="s">
        <v>24</v>
      </c>
      <c r="G305" s="3" t="str" cm="1">
        <f t="array" aca="1" ref="G305" ca="1">INDEX(lista!$B$1:$B$6, RANDBETWEEN(1, 6))</f>
        <v>TVM</v>
      </c>
      <c r="H305" s="3" t="str" cm="1">
        <f t="array" aca="1" ref="H305" ca="1">INDEX(lista!$C$1:$C$4, RANDBETWEEN(1, 4))</f>
        <v>Falla eléctrica</v>
      </c>
      <c r="I305" s="3" t="str">
        <f t="shared" ca="1" si="34"/>
        <v>Alta</v>
      </c>
      <c r="J305" s="3" t="str">
        <f t="shared" ca="1" si="35"/>
        <v>En curso</v>
      </c>
      <c r="K305" s="4" t="str">
        <f t="shared" ca="1" si="36"/>
        <v/>
      </c>
      <c r="L305" s="1" t="str">
        <f t="shared" ca="1" si="37"/>
        <v/>
      </c>
      <c r="M305" s="3" t="str">
        <f t="shared" ca="1" si="38"/>
        <v>Telecomunicaciones</v>
      </c>
    </row>
    <row r="306" spans="1:13" x14ac:dyDescent="0.3">
      <c r="A306" s="3">
        <f t="shared" si="32"/>
        <v>305</v>
      </c>
      <c r="B306" s="4">
        <f t="shared" ca="1" si="30"/>
        <v>44977</v>
      </c>
      <c r="C306" s="4" t="str">
        <f t="shared" ca="1" si="33"/>
        <v>2023-02</v>
      </c>
      <c r="D306" s="5">
        <f t="shared" ca="1" si="31"/>
        <v>0.38333333333333336</v>
      </c>
      <c r="E306" s="3" t="str" cm="1">
        <f t="array" aca="1" ref="E306" ca="1">INDEX(lista!$A$1:$A$12, RANDBETWEEN(1, 12))</f>
        <v>La Cultura</v>
      </c>
      <c r="F306" s="3" t="s">
        <v>24</v>
      </c>
      <c r="G306" s="3" t="str" cm="1">
        <f t="array" aca="1" ref="G306" ca="1">INDEX(lista!$B$1:$B$6, RANDBETWEEN(1, 6))</f>
        <v>Ascensor</v>
      </c>
      <c r="H306" s="3" t="str" cm="1">
        <f t="array" aca="1" ref="H306" ca="1">INDEX(lista!$C$1:$C$4, RANDBETWEEN(1, 4))</f>
        <v>Falla eléctrica</v>
      </c>
      <c r="I306" s="3" t="str">
        <f t="shared" ca="1" si="34"/>
        <v>Media</v>
      </c>
      <c r="J306" s="3" t="str">
        <f t="shared" ca="1" si="35"/>
        <v>Atendida</v>
      </c>
      <c r="K306" s="4">
        <f t="shared" ca="1" si="36"/>
        <v>44977</v>
      </c>
      <c r="L306" s="1">
        <f t="shared" ca="1" si="37"/>
        <v>15</v>
      </c>
      <c r="M306" s="3" t="str">
        <f t="shared" ca="1" si="38"/>
        <v>Mantenimiento</v>
      </c>
    </row>
    <row r="307" spans="1:13" x14ac:dyDescent="0.3">
      <c r="A307" s="3">
        <f t="shared" si="32"/>
        <v>306</v>
      </c>
      <c r="B307" s="4">
        <f t="shared" ca="1" si="30"/>
        <v>45081</v>
      </c>
      <c r="C307" s="4" t="str">
        <f t="shared" ca="1" si="33"/>
        <v>2023-06</v>
      </c>
      <c r="D307" s="5">
        <f t="shared" ca="1" si="31"/>
        <v>0.83888888888888891</v>
      </c>
      <c r="E307" s="3" t="str" cm="1">
        <f t="array" aca="1" ref="E307" ca="1">INDEX(lista!$A$1:$A$12, RANDBETWEEN(1, 12))</f>
        <v>Bayóvar</v>
      </c>
      <c r="F307" s="3" t="s">
        <v>24</v>
      </c>
      <c r="G307" s="3" t="str" cm="1">
        <f t="array" aca="1" ref="G307" ca="1">INDEX(lista!$B$1:$B$6, RANDBETWEEN(1, 6))</f>
        <v>Radio</v>
      </c>
      <c r="H307" s="3" t="str" cm="1">
        <f t="array" aca="1" ref="H307" ca="1">INDEX(lista!$C$1:$C$4, RANDBETWEEN(1, 4))</f>
        <v>Falla mecánica</v>
      </c>
      <c r="I307" s="3" t="str">
        <f t="shared" ca="1" si="34"/>
        <v>Alta</v>
      </c>
      <c r="J307" s="3" t="str">
        <f t="shared" ca="1" si="35"/>
        <v>En curso</v>
      </c>
      <c r="K307" s="4" t="str">
        <f t="shared" ca="1" si="36"/>
        <v/>
      </c>
      <c r="L307" s="1" t="str">
        <f t="shared" ca="1" si="37"/>
        <v/>
      </c>
      <c r="M307" s="3" t="str">
        <f t="shared" ca="1" si="38"/>
        <v>Telecomunicaciones</v>
      </c>
    </row>
    <row r="308" spans="1:13" x14ac:dyDescent="0.3">
      <c r="A308" s="3">
        <f t="shared" si="32"/>
        <v>307</v>
      </c>
      <c r="B308" s="4">
        <f t="shared" ca="1" si="30"/>
        <v>45017</v>
      </c>
      <c r="C308" s="4" t="str">
        <f t="shared" ca="1" si="33"/>
        <v>2023-04</v>
      </c>
      <c r="D308" s="5">
        <f t="shared" ca="1" si="31"/>
        <v>0.61458333333333337</v>
      </c>
      <c r="E308" s="3" t="str" cm="1">
        <f t="array" aca="1" ref="E308" ca="1">INDEX(lista!$A$1:$A$12, RANDBETWEEN(1, 12))</f>
        <v>Bayóvar</v>
      </c>
      <c r="F308" s="3" t="s">
        <v>24</v>
      </c>
      <c r="G308" s="3" t="str" cm="1">
        <f t="array" aca="1" ref="G308" ca="1">INDEX(lista!$B$1:$B$6, RANDBETWEEN(1, 6))</f>
        <v>Escalera eléctrica</v>
      </c>
      <c r="H308" s="3" t="str" cm="1">
        <f t="array" aca="1" ref="H308" ca="1">INDEX(lista!$C$1:$C$4, RANDBETWEEN(1, 4))</f>
        <v>Falla mecánica</v>
      </c>
      <c r="I308" s="3" t="str">
        <f t="shared" ca="1" si="34"/>
        <v>Baja</v>
      </c>
      <c r="J308" s="3" t="str">
        <f t="shared" ca="1" si="35"/>
        <v>Atendida</v>
      </c>
      <c r="K308" s="4">
        <f t="shared" ca="1" si="36"/>
        <v>45018</v>
      </c>
      <c r="L308" s="1">
        <f t="shared" ca="1" si="37"/>
        <v>13</v>
      </c>
      <c r="M308" s="3" t="str">
        <f t="shared" ca="1" si="38"/>
        <v>Mantenimiento</v>
      </c>
    </row>
    <row r="309" spans="1:13" x14ac:dyDescent="0.3">
      <c r="A309" s="3">
        <f t="shared" si="32"/>
        <v>308</v>
      </c>
      <c r="B309" s="4">
        <f t="shared" ca="1" si="30"/>
        <v>45442</v>
      </c>
      <c r="C309" s="4" t="str">
        <f t="shared" ca="1" si="33"/>
        <v>2024-05</v>
      </c>
      <c r="D309" s="5">
        <f t="shared" ca="1" si="31"/>
        <v>0.45763888888888893</v>
      </c>
      <c r="E309" s="3" t="str" cm="1">
        <f t="array" aca="1" ref="E309" ca="1">INDEX(lista!$A$1:$A$12, RANDBETWEEN(1, 12))</f>
        <v>La Cultura</v>
      </c>
      <c r="F309" s="3" t="s">
        <v>24</v>
      </c>
      <c r="G309" s="3" t="str" cm="1">
        <f t="array" aca="1" ref="G309" ca="1">INDEX(lista!$B$1:$B$6, RANDBETWEEN(1, 6))</f>
        <v>Torniquete</v>
      </c>
      <c r="H309" s="3" t="str" cm="1">
        <f t="array" aca="1" ref="H309" ca="1">INDEX(lista!$C$1:$C$4, RANDBETWEEN(1, 4))</f>
        <v>Falla mecánica</v>
      </c>
      <c r="I309" s="3" t="str">
        <f t="shared" ca="1" si="34"/>
        <v>Media</v>
      </c>
      <c r="J309" s="3" t="str">
        <f t="shared" ca="1" si="35"/>
        <v>Pendiente</v>
      </c>
      <c r="K309" s="4" t="str">
        <f t="shared" ca="1" si="36"/>
        <v/>
      </c>
      <c r="L309" s="1" t="str">
        <f t="shared" ca="1" si="37"/>
        <v/>
      </c>
      <c r="M309" s="3" t="str">
        <f t="shared" ca="1" si="38"/>
        <v>Telecomunicaciones</v>
      </c>
    </row>
    <row r="310" spans="1:13" x14ac:dyDescent="0.3">
      <c r="A310" s="3">
        <f t="shared" si="32"/>
        <v>309</v>
      </c>
      <c r="B310" s="4">
        <f t="shared" ca="1" si="30"/>
        <v>45574</v>
      </c>
      <c r="C310" s="4" t="str">
        <f t="shared" ca="1" si="33"/>
        <v>2024-10</v>
      </c>
      <c r="D310" s="5">
        <f t="shared" ca="1" si="31"/>
        <v>9.0277777777777776E-2</v>
      </c>
      <c r="E310" s="3" t="str" cm="1">
        <f t="array" aca="1" ref="E310" ca="1">INDEX(lista!$A$1:$A$12, RANDBETWEEN(1, 12))</f>
        <v>Santa Rosa</v>
      </c>
      <c r="F310" s="3" t="s">
        <v>24</v>
      </c>
      <c r="G310" s="3" t="str" cm="1">
        <f t="array" aca="1" ref="G310" ca="1">INDEX(lista!$B$1:$B$6, RANDBETWEEN(1, 6))</f>
        <v>Escalera eléctrica</v>
      </c>
      <c r="H310" s="3" t="str" cm="1">
        <f t="array" aca="1" ref="H310" ca="1">INDEX(lista!$C$1:$C$4, RANDBETWEEN(1, 4))</f>
        <v>Daño en infraestructura</v>
      </c>
      <c r="I310" s="3" t="str">
        <f t="shared" ca="1" si="34"/>
        <v>Alta</v>
      </c>
      <c r="J310" s="3" t="str">
        <f t="shared" ca="1" si="35"/>
        <v>Atendida</v>
      </c>
      <c r="K310" s="4">
        <f t="shared" ca="1" si="36"/>
        <v>45575</v>
      </c>
      <c r="L310" s="1">
        <f t="shared" ca="1" si="37"/>
        <v>12</v>
      </c>
      <c r="M310" s="3" t="str">
        <f t="shared" ca="1" si="38"/>
        <v>Mantenimiento</v>
      </c>
    </row>
    <row r="311" spans="1:13" x14ac:dyDescent="0.3">
      <c r="A311" s="3">
        <f t="shared" si="32"/>
        <v>310</v>
      </c>
      <c r="B311" s="4">
        <f t="shared" ca="1" si="30"/>
        <v>44971</v>
      </c>
      <c r="C311" s="4" t="str">
        <f t="shared" ca="1" si="33"/>
        <v>2023-02</v>
      </c>
      <c r="D311" s="5">
        <f t="shared" ca="1" si="31"/>
        <v>3.0555555555555555E-2</v>
      </c>
      <c r="E311" s="3" t="str" cm="1">
        <f t="array" aca="1" ref="E311" ca="1">INDEX(lista!$A$1:$A$12, RANDBETWEEN(1, 12))</f>
        <v>Santa Rosa</v>
      </c>
      <c r="F311" s="3" t="s">
        <v>24</v>
      </c>
      <c r="G311" s="3" t="str" cm="1">
        <f t="array" aca="1" ref="G311" ca="1">INDEX(lista!$B$1:$B$6, RANDBETWEEN(1, 6))</f>
        <v>Ascensor</v>
      </c>
      <c r="H311" s="3" t="str" cm="1">
        <f t="array" aca="1" ref="H311" ca="1">INDEX(lista!$C$1:$C$4, RANDBETWEEN(1, 4))</f>
        <v>Daño en infraestructura</v>
      </c>
      <c r="I311" s="3" t="str">
        <f t="shared" ca="1" si="34"/>
        <v>Alta</v>
      </c>
      <c r="J311" s="3" t="str">
        <f t="shared" ca="1" si="35"/>
        <v>Pendiente</v>
      </c>
      <c r="K311" s="4" t="str">
        <f t="shared" ca="1" si="36"/>
        <v/>
      </c>
      <c r="L311" s="1" t="str">
        <f t="shared" ca="1" si="37"/>
        <v/>
      </c>
      <c r="M311" s="3" t="str">
        <f t="shared" ca="1" si="38"/>
        <v>Mantenimiento</v>
      </c>
    </row>
    <row r="312" spans="1:13" x14ac:dyDescent="0.3">
      <c r="A312" s="3">
        <f t="shared" si="32"/>
        <v>311</v>
      </c>
      <c r="B312" s="4">
        <f t="shared" ca="1" si="30"/>
        <v>44927</v>
      </c>
      <c r="C312" s="4" t="str">
        <f t="shared" ca="1" si="33"/>
        <v>2023-01</v>
      </c>
      <c r="D312" s="5">
        <f t="shared" ca="1" si="31"/>
        <v>0.34444444444444444</v>
      </c>
      <c r="E312" s="3" t="str" cm="1">
        <f t="array" aca="1" ref="E312" ca="1">INDEX(lista!$A$1:$A$12, RANDBETWEEN(1, 12))</f>
        <v>Angamos</v>
      </c>
      <c r="F312" s="3" t="s">
        <v>24</v>
      </c>
      <c r="G312" s="3" t="str" cm="1">
        <f t="array" aca="1" ref="G312" ca="1">INDEX(lista!$B$1:$B$6, RANDBETWEEN(1, 6))</f>
        <v>Radio</v>
      </c>
      <c r="H312" s="3" t="str" cm="1">
        <f t="array" aca="1" ref="H312" ca="1">INDEX(lista!$C$1:$C$4, RANDBETWEEN(1, 4))</f>
        <v>Falla eléctrica</v>
      </c>
      <c r="I312" s="3" t="str">
        <f t="shared" ca="1" si="34"/>
        <v>Baja</v>
      </c>
      <c r="J312" s="3" t="str">
        <f t="shared" ca="1" si="35"/>
        <v>Atendida</v>
      </c>
      <c r="K312" s="4">
        <f t="shared" ca="1" si="36"/>
        <v>44928</v>
      </c>
      <c r="L312" s="1">
        <f t="shared" ca="1" si="37"/>
        <v>19</v>
      </c>
      <c r="M312" s="3" t="str">
        <f t="shared" ca="1" si="38"/>
        <v>Telecomunicaciones</v>
      </c>
    </row>
    <row r="313" spans="1:13" x14ac:dyDescent="0.3">
      <c r="A313" s="3">
        <f t="shared" si="32"/>
        <v>312</v>
      </c>
      <c r="B313" s="4">
        <f t="shared" ca="1" si="30"/>
        <v>45588</v>
      </c>
      <c r="C313" s="4" t="str">
        <f t="shared" ca="1" si="33"/>
        <v>2024-10</v>
      </c>
      <c r="D313" s="5">
        <f t="shared" ca="1" si="31"/>
        <v>2.0833333333333333E-3</v>
      </c>
      <c r="E313" s="3" t="str" cm="1">
        <f t="array" aca="1" ref="E313" ca="1">INDEX(lista!$A$1:$A$12, RANDBETWEEN(1, 12))</f>
        <v>Cabitos</v>
      </c>
      <c r="F313" s="3" t="s">
        <v>24</v>
      </c>
      <c r="G313" s="3" t="str" cm="1">
        <f t="array" aca="1" ref="G313" ca="1">INDEX(lista!$B$1:$B$6, RANDBETWEEN(1, 6))</f>
        <v>Torniquete</v>
      </c>
      <c r="H313" s="3" t="str" cm="1">
        <f t="array" aca="1" ref="H313" ca="1">INDEX(lista!$C$1:$C$4, RANDBETWEEN(1, 4))</f>
        <v>Falla mecánica</v>
      </c>
      <c r="I313" s="3" t="str">
        <f t="shared" ca="1" si="34"/>
        <v>Media</v>
      </c>
      <c r="J313" s="3" t="str">
        <f t="shared" ca="1" si="35"/>
        <v>Atendida</v>
      </c>
      <c r="K313" s="4">
        <f t="shared" ca="1" si="36"/>
        <v>45588</v>
      </c>
      <c r="L313" s="1">
        <f t="shared" ca="1" si="37"/>
        <v>10</v>
      </c>
      <c r="M313" s="3" t="str">
        <f t="shared" ca="1" si="38"/>
        <v>Telecomunicaciones</v>
      </c>
    </row>
    <row r="314" spans="1:13" x14ac:dyDescent="0.3">
      <c r="A314" s="3">
        <f t="shared" si="32"/>
        <v>313</v>
      </c>
      <c r="B314" s="4">
        <f t="shared" ca="1" si="30"/>
        <v>45452</v>
      </c>
      <c r="C314" s="4" t="str">
        <f t="shared" ca="1" si="33"/>
        <v>2024-06</v>
      </c>
      <c r="D314" s="5">
        <f t="shared" ca="1" si="31"/>
        <v>0.25486111111111109</v>
      </c>
      <c r="E314" s="3" t="str" cm="1">
        <f t="array" aca="1" ref="E314" ca="1">INDEX(lista!$A$1:$A$12, RANDBETWEEN(1, 12))</f>
        <v>Atocongo</v>
      </c>
      <c r="F314" s="3" t="s">
        <v>24</v>
      </c>
      <c r="G314" s="3" t="str" cm="1">
        <f t="array" aca="1" ref="G314" ca="1">INDEX(lista!$B$1:$B$6, RANDBETWEEN(1, 6))</f>
        <v>Ascensor</v>
      </c>
      <c r="H314" s="3" t="str" cm="1">
        <f t="array" aca="1" ref="H314" ca="1">INDEX(lista!$C$1:$C$4, RANDBETWEEN(1, 4))</f>
        <v>Falla mecánica</v>
      </c>
      <c r="I314" s="3" t="str">
        <f t="shared" ca="1" si="34"/>
        <v>Alta</v>
      </c>
      <c r="J314" s="3" t="str">
        <f t="shared" ca="1" si="35"/>
        <v>Atendida</v>
      </c>
      <c r="K314" s="4">
        <f t="shared" ca="1" si="36"/>
        <v>45453</v>
      </c>
      <c r="L314" s="1">
        <f t="shared" ca="1" si="37"/>
        <v>2</v>
      </c>
      <c r="M314" s="3" t="str">
        <f t="shared" ca="1" si="38"/>
        <v>Mantenimiento</v>
      </c>
    </row>
    <row r="315" spans="1:13" x14ac:dyDescent="0.3">
      <c r="A315" s="3">
        <f t="shared" si="32"/>
        <v>314</v>
      </c>
      <c r="B315" s="4">
        <f t="shared" ca="1" si="30"/>
        <v>45163</v>
      </c>
      <c r="C315" s="4" t="str">
        <f t="shared" ca="1" si="33"/>
        <v>2023-08</v>
      </c>
      <c r="D315" s="5">
        <f t="shared" ca="1" si="31"/>
        <v>0.60000000000000009</v>
      </c>
      <c r="E315" s="3" t="str" cm="1">
        <f t="array" aca="1" ref="E315" ca="1">INDEX(lista!$A$1:$A$12, RANDBETWEEN(1, 12))</f>
        <v>San Carlos</v>
      </c>
      <c r="F315" s="3" t="s">
        <v>24</v>
      </c>
      <c r="G315" s="3" t="str" cm="1">
        <f t="array" aca="1" ref="G315" ca="1">INDEX(lista!$B$1:$B$6, RANDBETWEEN(1, 6))</f>
        <v>Radio</v>
      </c>
      <c r="H315" s="3" t="str" cm="1">
        <f t="array" aca="1" ref="H315" ca="1">INDEX(lista!$C$1:$C$4, RANDBETWEEN(1, 4))</f>
        <v>Falla eléctrica</v>
      </c>
      <c r="I315" s="3" t="str">
        <f t="shared" ca="1" si="34"/>
        <v>Media</v>
      </c>
      <c r="J315" s="3" t="str">
        <f t="shared" ca="1" si="35"/>
        <v>Atendida</v>
      </c>
      <c r="K315" s="4">
        <f t="shared" ca="1" si="36"/>
        <v>45163</v>
      </c>
      <c r="L315" s="1">
        <f t="shared" ca="1" si="37"/>
        <v>2</v>
      </c>
      <c r="M315" s="3" t="str">
        <f t="shared" ca="1" si="38"/>
        <v>Telecomunicaciones</v>
      </c>
    </row>
    <row r="316" spans="1:13" x14ac:dyDescent="0.3">
      <c r="A316" s="3">
        <f t="shared" si="32"/>
        <v>315</v>
      </c>
      <c r="B316" s="4">
        <f t="shared" ca="1" si="30"/>
        <v>45069</v>
      </c>
      <c r="C316" s="4" t="str">
        <f t="shared" ca="1" si="33"/>
        <v>2023-05</v>
      </c>
      <c r="D316" s="5">
        <f t="shared" ca="1" si="31"/>
        <v>0.2215277777777778</v>
      </c>
      <c r="E316" s="3" t="str" cm="1">
        <f t="array" aca="1" ref="E316" ca="1">INDEX(lista!$A$1:$A$12, RANDBETWEEN(1, 12))</f>
        <v>Ayacucho</v>
      </c>
      <c r="F316" s="3" t="s">
        <v>24</v>
      </c>
      <c r="G316" s="3" t="str" cm="1">
        <f t="array" aca="1" ref="G316" ca="1">INDEX(lista!$B$1:$B$6, RANDBETWEEN(1, 6))</f>
        <v>TVM</v>
      </c>
      <c r="H316" s="3" t="str" cm="1">
        <f t="array" aca="1" ref="H316" ca="1">INDEX(lista!$C$1:$C$4, RANDBETWEEN(1, 4))</f>
        <v>Mantenimiento preventivo</v>
      </c>
      <c r="I316" s="3" t="str">
        <f t="shared" ca="1" si="34"/>
        <v>Alta</v>
      </c>
      <c r="J316" s="3" t="str">
        <f t="shared" ca="1" si="35"/>
        <v>Atendida</v>
      </c>
      <c r="K316" s="4">
        <f t="shared" ca="1" si="36"/>
        <v>45071</v>
      </c>
      <c r="L316" s="1">
        <f t="shared" ca="1" si="37"/>
        <v>12</v>
      </c>
      <c r="M316" s="3" t="str">
        <f t="shared" ca="1" si="38"/>
        <v>Telecomunicaciones</v>
      </c>
    </row>
    <row r="317" spans="1:13" x14ac:dyDescent="0.3">
      <c r="A317" s="3">
        <f t="shared" si="32"/>
        <v>316</v>
      </c>
      <c r="B317" s="4">
        <f t="shared" ca="1" si="30"/>
        <v>45225</v>
      </c>
      <c r="C317" s="4" t="str">
        <f t="shared" ca="1" si="33"/>
        <v>2023-10</v>
      </c>
      <c r="D317" s="5">
        <f t="shared" ca="1" si="31"/>
        <v>0.84097222222222223</v>
      </c>
      <c r="E317" s="3" t="str" cm="1">
        <f t="array" aca="1" ref="E317" ca="1">INDEX(lista!$A$1:$A$12, RANDBETWEEN(1, 12))</f>
        <v>Ayacucho</v>
      </c>
      <c r="F317" s="3" t="s">
        <v>24</v>
      </c>
      <c r="G317" s="3" t="str" cm="1">
        <f t="array" aca="1" ref="G317" ca="1">INDEX(lista!$B$1:$B$6, RANDBETWEEN(1, 6))</f>
        <v>Radio</v>
      </c>
      <c r="H317" s="3" t="str" cm="1">
        <f t="array" aca="1" ref="H317" ca="1">INDEX(lista!$C$1:$C$4, RANDBETWEEN(1, 4))</f>
        <v>Falla eléctrica</v>
      </c>
      <c r="I317" s="3" t="str">
        <f t="shared" ca="1" si="34"/>
        <v>Alta</v>
      </c>
      <c r="J317" s="3" t="str">
        <f t="shared" ca="1" si="35"/>
        <v>Atendida</v>
      </c>
      <c r="K317" s="4">
        <f t="shared" ca="1" si="36"/>
        <v>45225</v>
      </c>
      <c r="L317" s="1">
        <f t="shared" ca="1" si="37"/>
        <v>23</v>
      </c>
      <c r="M317" s="3" t="str">
        <f t="shared" ca="1" si="38"/>
        <v>Telecomunicaciones</v>
      </c>
    </row>
    <row r="318" spans="1:13" x14ac:dyDescent="0.3">
      <c r="A318" s="3">
        <f t="shared" si="32"/>
        <v>317</v>
      </c>
      <c r="B318" s="4">
        <f t="shared" ca="1" si="30"/>
        <v>45229</v>
      </c>
      <c r="C318" s="4" t="str">
        <f t="shared" ca="1" si="33"/>
        <v>2023-10</v>
      </c>
      <c r="D318" s="5">
        <f t="shared" ca="1" si="31"/>
        <v>0.22430555555555556</v>
      </c>
      <c r="E318" s="3" t="str" cm="1">
        <f t="array" aca="1" ref="E318" ca="1">INDEX(lista!$A$1:$A$12, RANDBETWEEN(1, 12))</f>
        <v>Angamos</v>
      </c>
      <c r="F318" s="3" t="s">
        <v>24</v>
      </c>
      <c r="G318" s="3" t="str" cm="1">
        <f t="array" aca="1" ref="G318" ca="1">INDEX(lista!$B$1:$B$6, RANDBETWEEN(1, 6))</f>
        <v>Escalera eléctrica</v>
      </c>
      <c r="H318" s="3" t="str" cm="1">
        <f t="array" aca="1" ref="H318" ca="1">INDEX(lista!$C$1:$C$4, RANDBETWEEN(1, 4))</f>
        <v>Falla eléctrica</v>
      </c>
      <c r="I318" s="3" t="str">
        <f t="shared" ca="1" si="34"/>
        <v>Media</v>
      </c>
      <c r="J318" s="3" t="str">
        <f t="shared" ca="1" si="35"/>
        <v>Pendiente</v>
      </c>
      <c r="K318" s="4" t="str">
        <f t="shared" ca="1" si="36"/>
        <v/>
      </c>
      <c r="L318" s="1" t="str">
        <f t="shared" ca="1" si="37"/>
        <v/>
      </c>
      <c r="M318" s="3" t="str">
        <f t="shared" ca="1" si="38"/>
        <v>Mantenimiento</v>
      </c>
    </row>
    <row r="319" spans="1:13" x14ac:dyDescent="0.3">
      <c r="A319" s="3">
        <f t="shared" si="32"/>
        <v>318</v>
      </c>
      <c r="B319" s="4">
        <f t="shared" ca="1" si="30"/>
        <v>45141</v>
      </c>
      <c r="C319" s="4" t="str">
        <f t="shared" ca="1" si="33"/>
        <v>2023-08</v>
      </c>
      <c r="D319" s="5">
        <f t="shared" ca="1" si="31"/>
        <v>0.39374999999999999</v>
      </c>
      <c r="E319" s="3" t="str" cm="1">
        <f t="array" aca="1" ref="E319" ca="1">INDEX(lista!$A$1:$A$12, RANDBETWEEN(1, 12))</f>
        <v>Angamos</v>
      </c>
      <c r="F319" s="3" t="s">
        <v>24</v>
      </c>
      <c r="G319" s="3" t="str" cm="1">
        <f t="array" aca="1" ref="G319" ca="1">INDEX(lista!$B$1:$B$6, RANDBETWEEN(1, 6))</f>
        <v>Torniquete</v>
      </c>
      <c r="H319" s="3" t="str" cm="1">
        <f t="array" aca="1" ref="H319" ca="1">INDEX(lista!$C$1:$C$4, RANDBETWEEN(1, 4))</f>
        <v>Daño en infraestructura</v>
      </c>
      <c r="I319" s="3" t="str">
        <f t="shared" ca="1" si="34"/>
        <v>Alta</v>
      </c>
      <c r="J319" s="3" t="str">
        <f t="shared" ca="1" si="35"/>
        <v>Atendida</v>
      </c>
      <c r="K319" s="4">
        <f t="shared" ca="1" si="36"/>
        <v>45142</v>
      </c>
      <c r="L319" s="1">
        <f t="shared" ca="1" si="37"/>
        <v>4</v>
      </c>
      <c r="M319" s="3" t="str">
        <f t="shared" ca="1" si="38"/>
        <v>Telecomunicaciones</v>
      </c>
    </row>
    <row r="320" spans="1:13" x14ac:dyDescent="0.3">
      <c r="A320" s="3">
        <f t="shared" si="32"/>
        <v>319</v>
      </c>
      <c r="B320" s="4">
        <f t="shared" ca="1" si="30"/>
        <v>45561</v>
      </c>
      <c r="C320" s="4" t="str">
        <f t="shared" ca="1" si="33"/>
        <v>2024-09</v>
      </c>
      <c r="D320" s="5">
        <f t="shared" ca="1" si="31"/>
        <v>0.51944444444444449</v>
      </c>
      <c r="E320" s="3" t="str" cm="1">
        <f t="array" aca="1" ref="E320" ca="1">INDEX(lista!$A$1:$A$12, RANDBETWEEN(1, 12))</f>
        <v>Angamos</v>
      </c>
      <c r="F320" s="3" t="s">
        <v>24</v>
      </c>
      <c r="G320" s="3" t="str" cm="1">
        <f t="array" aca="1" ref="G320" ca="1">INDEX(lista!$B$1:$B$6, RANDBETWEEN(1, 6))</f>
        <v>Ascensor</v>
      </c>
      <c r="H320" s="3" t="str" cm="1">
        <f t="array" aca="1" ref="H320" ca="1">INDEX(lista!$C$1:$C$4, RANDBETWEEN(1, 4))</f>
        <v>Mantenimiento preventivo</v>
      </c>
      <c r="I320" s="3" t="str">
        <f t="shared" ca="1" si="34"/>
        <v>Media</v>
      </c>
      <c r="J320" s="3" t="str">
        <f t="shared" ca="1" si="35"/>
        <v>Pendiente</v>
      </c>
      <c r="K320" s="4" t="str">
        <f t="shared" ca="1" si="36"/>
        <v/>
      </c>
      <c r="L320" s="1" t="str">
        <f t="shared" ca="1" si="37"/>
        <v/>
      </c>
      <c r="M320" s="3" t="str">
        <f t="shared" ca="1" si="38"/>
        <v>Mantenimiento</v>
      </c>
    </row>
    <row r="321" spans="1:13" x14ac:dyDescent="0.3">
      <c r="A321" s="3">
        <f t="shared" si="32"/>
        <v>320</v>
      </c>
      <c r="B321" s="4">
        <f t="shared" ca="1" si="30"/>
        <v>45468</v>
      </c>
      <c r="C321" s="4" t="str">
        <f t="shared" ca="1" si="33"/>
        <v>2024-06</v>
      </c>
      <c r="D321" s="5">
        <f t="shared" ca="1" si="31"/>
        <v>0.70694444444444438</v>
      </c>
      <c r="E321" s="3" t="str" cm="1">
        <f t="array" aca="1" ref="E321" ca="1">INDEX(lista!$A$1:$A$12, RANDBETWEEN(1, 12))</f>
        <v>La Cultura</v>
      </c>
      <c r="F321" s="3" t="s">
        <v>24</v>
      </c>
      <c r="G321" s="3" t="str" cm="1">
        <f t="array" aca="1" ref="G321" ca="1">INDEX(lista!$B$1:$B$6, RANDBETWEEN(1, 6))</f>
        <v>TVM</v>
      </c>
      <c r="H321" s="3" t="str" cm="1">
        <f t="array" aca="1" ref="H321" ca="1">INDEX(lista!$C$1:$C$4, RANDBETWEEN(1, 4))</f>
        <v>Mantenimiento preventivo</v>
      </c>
      <c r="I321" s="3" t="str">
        <f t="shared" ca="1" si="34"/>
        <v>Baja</v>
      </c>
      <c r="J321" s="3" t="str">
        <f t="shared" ca="1" si="35"/>
        <v>En curso</v>
      </c>
      <c r="K321" s="4" t="str">
        <f t="shared" ca="1" si="36"/>
        <v/>
      </c>
      <c r="L321" s="1" t="str">
        <f t="shared" ca="1" si="37"/>
        <v/>
      </c>
      <c r="M321" s="3" t="str">
        <f t="shared" ca="1" si="38"/>
        <v>Telecomunicaciones</v>
      </c>
    </row>
    <row r="322" spans="1:13" x14ac:dyDescent="0.3">
      <c r="A322" s="3">
        <f t="shared" si="32"/>
        <v>321</v>
      </c>
      <c r="B322" s="4">
        <f t="shared" ref="B322:B385" ca="1" si="39">DATE(2023,1,1)+RANDBETWEEN(0,730)</f>
        <v>45245</v>
      </c>
      <c r="C322" s="4" t="str">
        <f t="shared" ca="1" si="33"/>
        <v>2023-11</v>
      </c>
      <c r="D322" s="5">
        <f t="shared" ref="D322:D385" ca="1" si="40">RANDBETWEEN(0,23)/24 + RANDBETWEEN(0,59)/1440</f>
        <v>0.55624999999999991</v>
      </c>
      <c r="E322" s="3" t="str" cm="1">
        <f t="array" aca="1" ref="E322" ca="1">INDEX(lista!$A$1:$A$12, RANDBETWEEN(1, 12))</f>
        <v>Atocongo</v>
      </c>
      <c r="F322" s="3" t="s">
        <v>24</v>
      </c>
      <c r="G322" s="3" t="str" cm="1">
        <f t="array" aca="1" ref="G322" ca="1">INDEX(lista!$B$1:$B$6, RANDBETWEEN(1, 6))</f>
        <v>Radio</v>
      </c>
      <c r="H322" s="3" t="str" cm="1">
        <f t="array" aca="1" ref="H322" ca="1">INDEX(lista!$C$1:$C$4, RANDBETWEEN(1, 4))</f>
        <v>Daño en infraestructura</v>
      </c>
      <c r="I322" s="3" t="str">
        <f t="shared" ca="1" si="34"/>
        <v>Baja</v>
      </c>
      <c r="J322" s="3" t="str">
        <f t="shared" ca="1" si="35"/>
        <v>Atendida</v>
      </c>
      <c r="K322" s="4">
        <f t="shared" ca="1" si="36"/>
        <v>45246</v>
      </c>
      <c r="L322" s="1">
        <f t="shared" ca="1" si="37"/>
        <v>19</v>
      </c>
      <c r="M322" s="3" t="str">
        <f t="shared" ca="1" si="38"/>
        <v>Telecomunicaciones</v>
      </c>
    </row>
    <row r="323" spans="1:13" x14ac:dyDescent="0.3">
      <c r="A323" s="3">
        <f t="shared" ref="A323:A386" si="41">ROW()-1</f>
        <v>322</v>
      </c>
      <c r="B323" s="4">
        <f t="shared" ca="1" si="39"/>
        <v>45054</v>
      </c>
      <c r="C323" s="4" t="str">
        <f t="shared" ref="C323:C386" ca="1" si="42">TEXT(B323,"yyyy-mm")</f>
        <v>2023-05</v>
      </c>
      <c r="D323" s="5">
        <f t="shared" ca="1" si="40"/>
        <v>5.2083333333333329E-2</v>
      </c>
      <c r="E323" s="3" t="str" cm="1">
        <f t="array" aca="1" ref="E323" ca="1">INDEX(lista!$A$1:$A$12, RANDBETWEEN(1, 12))</f>
        <v>Villa El Salvador</v>
      </c>
      <c r="F323" s="3" t="s">
        <v>24</v>
      </c>
      <c r="G323" s="3" t="str" cm="1">
        <f t="array" aca="1" ref="G323" ca="1">INDEX(lista!$B$1:$B$6, RANDBETWEEN(1, 6))</f>
        <v>Radio</v>
      </c>
      <c r="H323" s="3" t="str" cm="1">
        <f t="array" aca="1" ref="H323" ca="1">INDEX(lista!$C$1:$C$4, RANDBETWEEN(1, 4))</f>
        <v>Mantenimiento preventivo</v>
      </c>
      <c r="I323" s="3" t="str">
        <f t="shared" ref="I323:I386" ca="1" si="43">CHOOSE(RANDBETWEEN(1,10),"Baja","Baja","Baja","Media","Media","Media","Media","Alta","Alta","Alta")</f>
        <v>Alta</v>
      </c>
      <c r="J323" s="3" t="str">
        <f t="shared" ref="J323:J386" ca="1" si="44">CHOOSE(RANDBETWEEN(1,10),"Atendida","Atendida","Atendida","En curso","En curso","Pendiente","Pendiente","Atendida","Atendida","Atendida")</f>
        <v>Atendida</v>
      </c>
      <c r="K323" s="4">
        <f t="shared" ref="K323:K386" ca="1" si="45">IF(J323="Atendida",B323+RANDBETWEEN(0,2),"")</f>
        <v>45056</v>
      </c>
      <c r="L323" s="1">
        <f t="shared" ref="L323:L386" ca="1" si="46">IF(J323="Atendida",RANDBETWEEN(1,24),"")</f>
        <v>7</v>
      </c>
      <c r="M323" s="3" t="str">
        <f t="shared" ref="M323:M386" ca="1" si="47">IF(OR(G323="Escalera eléctrica",G323="Ascensor",G323="Puertas de andén"),"Mantenimiento",IF(G323="Sistema eléctrico","Infraestructura","Telecomunicaciones"))</f>
        <v>Telecomunicaciones</v>
      </c>
    </row>
    <row r="324" spans="1:13" x14ac:dyDescent="0.3">
      <c r="A324" s="3">
        <f t="shared" si="41"/>
        <v>323</v>
      </c>
      <c r="B324" s="4">
        <f t="shared" ca="1" si="39"/>
        <v>45620</v>
      </c>
      <c r="C324" s="4" t="str">
        <f t="shared" ca="1" si="42"/>
        <v>2024-11</v>
      </c>
      <c r="D324" s="5">
        <f t="shared" ca="1" si="40"/>
        <v>0.87083333333333335</v>
      </c>
      <c r="E324" s="3" t="str" cm="1">
        <f t="array" aca="1" ref="E324" ca="1">INDEX(lista!$A$1:$A$12, RANDBETWEEN(1, 12))</f>
        <v>Ayacucho</v>
      </c>
      <c r="F324" s="3" t="s">
        <v>24</v>
      </c>
      <c r="G324" s="3" t="str" cm="1">
        <f t="array" aca="1" ref="G324" ca="1">INDEX(lista!$B$1:$B$6, RANDBETWEEN(1, 6))</f>
        <v>Ascensor</v>
      </c>
      <c r="H324" s="3" t="str" cm="1">
        <f t="array" aca="1" ref="H324" ca="1">INDEX(lista!$C$1:$C$4, RANDBETWEEN(1, 4))</f>
        <v>Daño en infraestructura</v>
      </c>
      <c r="I324" s="3" t="str">
        <f t="shared" ca="1" si="43"/>
        <v>Baja</v>
      </c>
      <c r="J324" s="3" t="str">
        <f t="shared" ca="1" si="44"/>
        <v>En curso</v>
      </c>
      <c r="K324" s="4" t="str">
        <f t="shared" ca="1" si="45"/>
        <v/>
      </c>
      <c r="L324" s="1" t="str">
        <f t="shared" ca="1" si="46"/>
        <v/>
      </c>
      <c r="M324" s="3" t="str">
        <f t="shared" ca="1" si="47"/>
        <v>Mantenimiento</v>
      </c>
    </row>
    <row r="325" spans="1:13" x14ac:dyDescent="0.3">
      <c r="A325" s="3">
        <f t="shared" si="41"/>
        <v>324</v>
      </c>
      <c r="B325" s="4">
        <f t="shared" ca="1" si="39"/>
        <v>45530</v>
      </c>
      <c r="C325" s="4" t="str">
        <f t="shared" ca="1" si="42"/>
        <v>2024-08</v>
      </c>
      <c r="D325" s="5">
        <f t="shared" ca="1" si="40"/>
        <v>0.49236111111111108</v>
      </c>
      <c r="E325" s="3" t="str" cm="1">
        <f t="array" aca="1" ref="E325" ca="1">INDEX(lista!$A$1:$A$12, RANDBETWEEN(1, 12))</f>
        <v>Atocongo</v>
      </c>
      <c r="F325" s="3" t="s">
        <v>24</v>
      </c>
      <c r="G325" s="3" t="str" cm="1">
        <f t="array" aca="1" ref="G325" ca="1">INDEX(lista!$B$1:$B$6, RANDBETWEEN(1, 6))</f>
        <v>MET</v>
      </c>
      <c r="H325" s="3" t="str" cm="1">
        <f t="array" aca="1" ref="H325" ca="1">INDEX(lista!$C$1:$C$4, RANDBETWEEN(1, 4))</f>
        <v>Mantenimiento preventivo</v>
      </c>
      <c r="I325" s="3" t="str">
        <f t="shared" ca="1" si="43"/>
        <v>Alta</v>
      </c>
      <c r="J325" s="3" t="str">
        <f t="shared" ca="1" si="44"/>
        <v>Atendida</v>
      </c>
      <c r="K325" s="4">
        <f t="shared" ca="1" si="45"/>
        <v>45532</v>
      </c>
      <c r="L325" s="1">
        <f t="shared" ca="1" si="46"/>
        <v>12</v>
      </c>
      <c r="M325" s="3" t="str">
        <f t="shared" ca="1" si="47"/>
        <v>Telecomunicaciones</v>
      </c>
    </row>
    <row r="326" spans="1:13" x14ac:dyDescent="0.3">
      <c r="A326" s="3">
        <f t="shared" si="41"/>
        <v>325</v>
      </c>
      <c r="B326" s="4">
        <f t="shared" ca="1" si="39"/>
        <v>45607</v>
      </c>
      <c r="C326" s="4" t="str">
        <f t="shared" ca="1" si="42"/>
        <v>2024-11</v>
      </c>
      <c r="D326" s="5">
        <f t="shared" ca="1" si="40"/>
        <v>0.87638888888888888</v>
      </c>
      <c r="E326" s="3" t="str" cm="1">
        <f t="array" aca="1" ref="E326" ca="1">INDEX(lista!$A$1:$A$12, RANDBETWEEN(1, 12))</f>
        <v>La Cultura</v>
      </c>
      <c r="F326" s="3" t="s">
        <v>24</v>
      </c>
      <c r="G326" s="3" t="str" cm="1">
        <f t="array" aca="1" ref="G326" ca="1">INDEX(lista!$B$1:$B$6, RANDBETWEEN(1, 6))</f>
        <v>TVM</v>
      </c>
      <c r="H326" s="3" t="str" cm="1">
        <f t="array" aca="1" ref="H326" ca="1">INDEX(lista!$C$1:$C$4, RANDBETWEEN(1, 4))</f>
        <v>Falla eléctrica</v>
      </c>
      <c r="I326" s="3" t="str">
        <f t="shared" ca="1" si="43"/>
        <v>Media</v>
      </c>
      <c r="J326" s="3" t="str">
        <f t="shared" ca="1" si="44"/>
        <v>En curso</v>
      </c>
      <c r="K326" s="4" t="str">
        <f t="shared" ca="1" si="45"/>
        <v/>
      </c>
      <c r="L326" s="1" t="str">
        <f t="shared" ca="1" si="46"/>
        <v/>
      </c>
      <c r="M326" s="3" t="str">
        <f t="shared" ca="1" si="47"/>
        <v>Telecomunicaciones</v>
      </c>
    </row>
    <row r="327" spans="1:13" x14ac:dyDescent="0.3">
      <c r="A327" s="3">
        <f t="shared" si="41"/>
        <v>326</v>
      </c>
      <c r="B327" s="4">
        <f t="shared" ca="1" si="39"/>
        <v>45639</v>
      </c>
      <c r="C327" s="4" t="str">
        <f t="shared" ca="1" si="42"/>
        <v>2024-12</v>
      </c>
      <c r="D327" s="5">
        <f t="shared" ca="1" si="40"/>
        <v>0.60555555555555562</v>
      </c>
      <c r="E327" s="3" t="str" cm="1">
        <f t="array" aca="1" ref="E327" ca="1">INDEX(lista!$A$1:$A$12, RANDBETWEEN(1, 12))</f>
        <v>Bayóvar</v>
      </c>
      <c r="F327" s="3" t="s">
        <v>24</v>
      </c>
      <c r="G327" s="3" t="str" cm="1">
        <f t="array" aca="1" ref="G327" ca="1">INDEX(lista!$B$1:$B$6, RANDBETWEEN(1, 6))</f>
        <v>Radio</v>
      </c>
      <c r="H327" s="3" t="str" cm="1">
        <f t="array" aca="1" ref="H327" ca="1">INDEX(lista!$C$1:$C$4, RANDBETWEEN(1, 4))</f>
        <v>Daño en infraestructura</v>
      </c>
      <c r="I327" s="3" t="str">
        <f t="shared" ca="1" si="43"/>
        <v>Media</v>
      </c>
      <c r="J327" s="3" t="str">
        <f t="shared" ca="1" si="44"/>
        <v>Atendida</v>
      </c>
      <c r="K327" s="4">
        <f t="shared" ca="1" si="45"/>
        <v>45640</v>
      </c>
      <c r="L327" s="1">
        <f t="shared" ca="1" si="46"/>
        <v>24</v>
      </c>
      <c r="M327" s="3" t="str">
        <f t="shared" ca="1" si="47"/>
        <v>Telecomunicaciones</v>
      </c>
    </row>
    <row r="328" spans="1:13" x14ac:dyDescent="0.3">
      <c r="A328" s="3">
        <f t="shared" si="41"/>
        <v>327</v>
      </c>
      <c r="B328" s="4">
        <f t="shared" ca="1" si="39"/>
        <v>45181</v>
      </c>
      <c r="C328" s="4" t="str">
        <f t="shared" ca="1" si="42"/>
        <v>2023-09</v>
      </c>
      <c r="D328" s="5">
        <f t="shared" ca="1" si="40"/>
        <v>0.71458333333333335</v>
      </c>
      <c r="E328" s="3" t="str" cm="1">
        <f t="array" aca="1" ref="E328" ca="1">INDEX(lista!$A$1:$A$12, RANDBETWEEN(1, 12))</f>
        <v>Atocongo</v>
      </c>
      <c r="F328" s="3" t="s">
        <v>24</v>
      </c>
      <c r="G328" s="3" t="str" cm="1">
        <f t="array" aca="1" ref="G328" ca="1">INDEX(lista!$B$1:$B$6, RANDBETWEEN(1, 6))</f>
        <v>MET</v>
      </c>
      <c r="H328" s="3" t="str" cm="1">
        <f t="array" aca="1" ref="H328" ca="1">INDEX(lista!$C$1:$C$4, RANDBETWEEN(1, 4))</f>
        <v>Daño en infraestructura</v>
      </c>
      <c r="I328" s="3" t="str">
        <f t="shared" ca="1" si="43"/>
        <v>Alta</v>
      </c>
      <c r="J328" s="3" t="str">
        <f t="shared" ca="1" si="44"/>
        <v>Pendiente</v>
      </c>
      <c r="K328" s="4" t="str">
        <f t="shared" ca="1" si="45"/>
        <v/>
      </c>
      <c r="L328" s="1" t="str">
        <f t="shared" ca="1" si="46"/>
        <v/>
      </c>
      <c r="M328" s="3" t="str">
        <f t="shared" ca="1" si="47"/>
        <v>Telecomunicaciones</v>
      </c>
    </row>
    <row r="329" spans="1:13" x14ac:dyDescent="0.3">
      <c r="A329" s="3">
        <f t="shared" si="41"/>
        <v>328</v>
      </c>
      <c r="B329" s="4">
        <f t="shared" ca="1" si="39"/>
        <v>45042</v>
      </c>
      <c r="C329" s="4" t="str">
        <f t="shared" ca="1" si="42"/>
        <v>2023-04</v>
      </c>
      <c r="D329" s="5">
        <f t="shared" ca="1" si="40"/>
        <v>0.28472222222222221</v>
      </c>
      <c r="E329" s="3" t="str" cm="1">
        <f t="array" aca="1" ref="E329" ca="1">INDEX(lista!$A$1:$A$12, RANDBETWEEN(1, 12))</f>
        <v>San Borja Sur</v>
      </c>
      <c r="F329" s="3" t="s">
        <v>24</v>
      </c>
      <c r="G329" s="3" t="str" cm="1">
        <f t="array" aca="1" ref="G329" ca="1">INDEX(lista!$B$1:$B$6, RANDBETWEEN(1, 6))</f>
        <v>Radio</v>
      </c>
      <c r="H329" s="3" t="str" cm="1">
        <f t="array" aca="1" ref="H329" ca="1">INDEX(lista!$C$1:$C$4, RANDBETWEEN(1, 4))</f>
        <v>Falla mecánica</v>
      </c>
      <c r="I329" s="3" t="str">
        <f t="shared" ca="1" si="43"/>
        <v>Baja</v>
      </c>
      <c r="J329" s="3" t="str">
        <f t="shared" ca="1" si="44"/>
        <v>Atendida</v>
      </c>
      <c r="K329" s="4">
        <f t="shared" ca="1" si="45"/>
        <v>45043</v>
      </c>
      <c r="L329" s="1">
        <f t="shared" ca="1" si="46"/>
        <v>17</v>
      </c>
      <c r="M329" s="3" t="str">
        <f t="shared" ca="1" si="47"/>
        <v>Telecomunicaciones</v>
      </c>
    </row>
    <row r="330" spans="1:13" x14ac:dyDescent="0.3">
      <c r="A330" s="3">
        <f t="shared" si="41"/>
        <v>329</v>
      </c>
      <c r="B330" s="4">
        <f t="shared" ca="1" si="39"/>
        <v>45448</v>
      </c>
      <c r="C330" s="4" t="str">
        <f t="shared" ca="1" si="42"/>
        <v>2024-06</v>
      </c>
      <c r="D330" s="5">
        <f t="shared" ca="1" si="40"/>
        <v>0.60694444444444451</v>
      </c>
      <c r="E330" s="3" t="str" cm="1">
        <f t="array" aca="1" ref="E330" ca="1">INDEX(lista!$A$1:$A$12, RANDBETWEEN(1, 12))</f>
        <v>San Carlos</v>
      </c>
      <c r="F330" s="3" t="s">
        <v>24</v>
      </c>
      <c r="G330" s="3" t="str" cm="1">
        <f t="array" aca="1" ref="G330" ca="1">INDEX(lista!$B$1:$B$6, RANDBETWEEN(1, 6))</f>
        <v>MET</v>
      </c>
      <c r="H330" s="3" t="str" cm="1">
        <f t="array" aca="1" ref="H330" ca="1">INDEX(lista!$C$1:$C$4, RANDBETWEEN(1, 4))</f>
        <v>Daño en infraestructura</v>
      </c>
      <c r="I330" s="3" t="str">
        <f t="shared" ca="1" si="43"/>
        <v>Baja</v>
      </c>
      <c r="J330" s="3" t="str">
        <f t="shared" ca="1" si="44"/>
        <v>Pendiente</v>
      </c>
      <c r="K330" s="4" t="str">
        <f t="shared" ca="1" si="45"/>
        <v/>
      </c>
      <c r="L330" s="1" t="str">
        <f t="shared" ca="1" si="46"/>
        <v/>
      </c>
      <c r="M330" s="3" t="str">
        <f t="shared" ca="1" si="47"/>
        <v>Telecomunicaciones</v>
      </c>
    </row>
    <row r="331" spans="1:13" x14ac:dyDescent="0.3">
      <c r="A331" s="3">
        <f t="shared" si="41"/>
        <v>330</v>
      </c>
      <c r="B331" s="4">
        <f t="shared" ca="1" si="39"/>
        <v>44974</v>
      </c>
      <c r="C331" s="4" t="str">
        <f t="shared" ca="1" si="42"/>
        <v>2023-02</v>
      </c>
      <c r="D331" s="5">
        <f t="shared" ca="1" si="40"/>
        <v>0.35624999999999996</v>
      </c>
      <c r="E331" s="3" t="str" cm="1">
        <f t="array" aca="1" ref="E331" ca="1">INDEX(lista!$A$1:$A$12, RANDBETWEEN(1, 12))</f>
        <v>Pumacahua</v>
      </c>
      <c r="F331" s="3" t="s">
        <v>24</v>
      </c>
      <c r="G331" s="3" t="str" cm="1">
        <f t="array" aca="1" ref="G331" ca="1">INDEX(lista!$B$1:$B$6, RANDBETWEEN(1, 6))</f>
        <v>MET</v>
      </c>
      <c r="H331" s="3" t="str" cm="1">
        <f t="array" aca="1" ref="H331" ca="1">INDEX(lista!$C$1:$C$4, RANDBETWEEN(1, 4))</f>
        <v>Daño en infraestructura</v>
      </c>
      <c r="I331" s="3" t="str">
        <f t="shared" ca="1" si="43"/>
        <v>Media</v>
      </c>
      <c r="J331" s="3" t="str">
        <f t="shared" ca="1" si="44"/>
        <v>Pendiente</v>
      </c>
      <c r="K331" s="4" t="str">
        <f t="shared" ca="1" si="45"/>
        <v/>
      </c>
      <c r="L331" s="1" t="str">
        <f t="shared" ca="1" si="46"/>
        <v/>
      </c>
      <c r="M331" s="3" t="str">
        <f t="shared" ca="1" si="47"/>
        <v>Telecomunicaciones</v>
      </c>
    </row>
    <row r="332" spans="1:13" x14ac:dyDescent="0.3">
      <c r="A332" s="3">
        <f t="shared" si="41"/>
        <v>331</v>
      </c>
      <c r="B332" s="4">
        <f t="shared" ca="1" si="39"/>
        <v>45372</v>
      </c>
      <c r="C332" s="4" t="str">
        <f t="shared" ca="1" si="42"/>
        <v>2024-03</v>
      </c>
      <c r="D332" s="5">
        <f t="shared" ca="1" si="40"/>
        <v>0.54999999999999993</v>
      </c>
      <c r="E332" s="3" t="str" cm="1">
        <f t="array" aca="1" ref="E332" ca="1">INDEX(lista!$A$1:$A$12, RANDBETWEEN(1, 12))</f>
        <v>Gamarra</v>
      </c>
      <c r="F332" s="3" t="s">
        <v>24</v>
      </c>
      <c r="G332" s="3" t="str" cm="1">
        <f t="array" aca="1" ref="G332" ca="1">INDEX(lista!$B$1:$B$6, RANDBETWEEN(1, 6))</f>
        <v>TVM</v>
      </c>
      <c r="H332" s="3" t="str" cm="1">
        <f t="array" aca="1" ref="H332" ca="1">INDEX(lista!$C$1:$C$4, RANDBETWEEN(1, 4))</f>
        <v>Falla eléctrica</v>
      </c>
      <c r="I332" s="3" t="str">
        <f t="shared" ca="1" si="43"/>
        <v>Media</v>
      </c>
      <c r="J332" s="3" t="str">
        <f t="shared" ca="1" si="44"/>
        <v>Atendida</v>
      </c>
      <c r="K332" s="4">
        <f t="shared" ca="1" si="45"/>
        <v>45372</v>
      </c>
      <c r="L332" s="1">
        <f t="shared" ca="1" si="46"/>
        <v>10</v>
      </c>
      <c r="M332" s="3" t="str">
        <f t="shared" ca="1" si="47"/>
        <v>Telecomunicaciones</v>
      </c>
    </row>
    <row r="333" spans="1:13" x14ac:dyDescent="0.3">
      <c r="A333" s="3">
        <f t="shared" si="41"/>
        <v>332</v>
      </c>
      <c r="B333" s="4">
        <f t="shared" ca="1" si="39"/>
        <v>45178</v>
      </c>
      <c r="C333" s="4" t="str">
        <f t="shared" ca="1" si="42"/>
        <v>2023-09</v>
      </c>
      <c r="D333" s="5">
        <f t="shared" ca="1" si="40"/>
        <v>0.67222222222222217</v>
      </c>
      <c r="E333" s="3" t="str" cm="1">
        <f t="array" aca="1" ref="E333" ca="1">INDEX(lista!$A$1:$A$12, RANDBETWEEN(1, 12))</f>
        <v>La Cultura</v>
      </c>
      <c r="F333" s="3" t="s">
        <v>24</v>
      </c>
      <c r="G333" s="3" t="str" cm="1">
        <f t="array" aca="1" ref="G333" ca="1">INDEX(lista!$B$1:$B$6, RANDBETWEEN(1, 6))</f>
        <v>MET</v>
      </c>
      <c r="H333" s="3" t="str" cm="1">
        <f t="array" aca="1" ref="H333" ca="1">INDEX(lista!$C$1:$C$4, RANDBETWEEN(1, 4))</f>
        <v>Daño en infraestructura</v>
      </c>
      <c r="I333" s="3" t="str">
        <f t="shared" ca="1" si="43"/>
        <v>Alta</v>
      </c>
      <c r="J333" s="3" t="str">
        <f t="shared" ca="1" si="44"/>
        <v>Atendida</v>
      </c>
      <c r="K333" s="4">
        <f t="shared" ca="1" si="45"/>
        <v>45179</v>
      </c>
      <c r="L333" s="1">
        <f t="shared" ca="1" si="46"/>
        <v>13</v>
      </c>
      <c r="M333" s="3" t="str">
        <f t="shared" ca="1" si="47"/>
        <v>Telecomunicaciones</v>
      </c>
    </row>
    <row r="334" spans="1:13" x14ac:dyDescent="0.3">
      <c r="A334" s="3">
        <f t="shared" si="41"/>
        <v>333</v>
      </c>
      <c r="B334" s="4">
        <f t="shared" ca="1" si="39"/>
        <v>45495</v>
      </c>
      <c r="C334" s="4" t="str">
        <f t="shared" ca="1" si="42"/>
        <v>2024-07</v>
      </c>
      <c r="D334" s="5">
        <f t="shared" ca="1" si="40"/>
        <v>0.51666666666666672</v>
      </c>
      <c r="E334" s="3" t="str" cm="1">
        <f t="array" aca="1" ref="E334" ca="1">INDEX(lista!$A$1:$A$12, RANDBETWEEN(1, 12))</f>
        <v>Pumacahua</v>
      </c>
      <c r="F334" s="3" t="s">
        <v>24</v>
      </c>
      <c r="G334" s="3" t="str" cm="1">
        <f t="array" aca="1" ref="G334" ca="1">INDEX(lista!$B$1:$B$6, RANDBETWEEN(1, 6))</f>
        <v>Ascensor</v>
      </c>
      <c r="H334" s="3" t="str" cm="1">
        <f t="array" aca="1" ref="H334" ca="1">INDEX(lista!$C$1:$C$4, RANDBETWEEN(1, 4))</f>
        <v>Daño en infraestructura</v>
      </c>
      <c r="I334" s="3" t="str">
        <f t="shared" ca="1" si="43"/>
        <v>Baja</v>
      </c>
      <c r="J334" s="3" t="str">
        <f t="shared" ca="1" si="44"/>
        <v>Atendida</v>
      </c>
      <c r="K334" s="4">
        <f t="shared" ca="1" si="45"/>
        <v>45497</v>
      </c>
      <c r="L334" s="1">
        <f t="shared" ca="1" si="46"/>
        <v>5</v>
      </c>
      <c r="M334" s="3" t="str">
        <f t="shared" ca="1" si="47"/>
        <v>Mantenimiento</v>
      </c>
    </row>
    <row r="335" spans="1:13" x14ac:dyDescent="0.3">
      <c r="A335" s="3">
        <f t="shared" si="41"/>
        <v>334</v>
      </c>
      <c r="B335" s="4">
        <f t="shared" ca="1" si="39"/>
        <v>45275</v>
      </c>
      <c r="C335" s="4" t="str">
        <f t="shared" ca="1" si="42"/>
        <v>2023-12</v>
      </c>
      <c r="D335" s="5">
        <f t="shared" ca="1" si="40"/>
        <v>0.60486111111111118</v>
      </c>
      <c r="E335" s="3" t="str" cm="1">
        <f t="array" aca="1" ref="E335" ca="1">INDEX(lista!$A$1:$A$12, RANDBETWEEN(1, 12))</f>
        <v>Cabitos</v>
      </c>
      <c r="F335" s="3" t="s">
        <v>24</v>
      </c>
      <c r="G335" s="3" t="str" cm="1">
        <f t="array" aca="1" ref="G335" ca="1">INDEX(lista!$B$1:$B$6, RANDBETWEEN(1, 6))</f>
        <v>Torniquete</v>
      </c>
      <c r="H335" s="3" t="str" cm="1">
        <f t="array" aca="1" ref="H335" ca="1">INDEX(lista!$C$1:$C$4, RANDBETWEEN(1, 4))</f>
        <v>Falla mecánica</v>
      </c>
      <c r="I335" s="3" t="str">
        <f t="shared" ca="1" si="43"/>
        <v>Baja</v>
      </c>
      <c r="J335" s="3" t="str">
        <f t="shared" ca="1" si="44"/>
        <v>Atendida</v>
      </c>
      <c r="K335" s="4">
        <f t="shared" ca="1" si="45"/>
        <v>45277</v>
      </c>
      <c r="L335" s="1">
        <f t="shared" ca="1" si="46"/>
        <v>3</v>
      </c>
      <c r="M335" s="3" t="str">
        <f t="shared" ca="1" si="47"/>
        <v>Telecomunicaciones</v>
      </c>
    </row>
    <row r="336" spans="1:13" x14ac:dyDescent="0.3">
      <c r="A336" s="3">
        <f t="shared" si="41"/>
        <v>335</v>
      </c>
      <c r="B336" s="4">
        <f t="shared" ca="1" si="39"/>
        <v>45033</v>
      </c>
      <c r="C336" s="4" t="str">
        <f t="shared" ca="1" si="42"/>
        <v>2023-04</v>
      </c>
      <c r="D336" s="5">
        <f t="shared" ca="1" si="40"/>
        <v>0.63541666666666663</v>
      </c>
      <c r="E336" s="3" t="str" cm="1">
        <f t="array" aca="1" ref="E336" ca="1">INDEX(lista!$A$1:$A$12, RANDBETWEEN(1, 12))</f>
        <v>Pumacahua</v>
      </c>
      <c r="F336" s="3" t="s">
        <v>24</v>
      </c>
      <c r="G336" s="3" t="str" cm="1">
        <f t="array" aca="1" ref="G336" ca="1">INDEX(lista!$B$1:$B$6, RANDBETWEEN(1, 6))</f>
        <v>Ascensor</v>
      </c>
      <c r="H336" s="3" t="str" cm="1">
        <f t="array" aca="1" ref="H336" ca="1">INDEX(lista!$C$1:$C$4, RANDBETWEEN(1, 4))</f>
        <v>Mantenimiento preventivo</v>
      </c>
      <c r="I336" s="3" t="str">
        <f t="shared" ca="1" si="43"/>
        <v>Baja</v>
      </c>
      <c r="J336" s="3" t="str">
        <f t="shared" ca="1" si="44"/>
        <v>En curso</v>
      </c>
      <c r="K336" s="4" t="str">
        <f t="shared" ca="1" si="45"/>
        <v/>
      </c>
      <c r="L336" s="1" t="str">
        <f t="shared" ca="1" si="46"/>
        <v/>
      </c>
      <c r="M336" s="3" t="str">
        <f t="shared" ca="1" si="47"/>
        <v>Mantenimiento</v>
      </c>
    </row>
    <row r="337" spans="1:13" x14ac:dyDescent="0.3">
      <c r="A337" s="3">
        <f t="shared" si="41"/>
        <v>336</v>
      </c>
      <c r="B337" s="4">
        <f t="shared" ca="1" si="39"/>
        <v>45548</v>
      </c>
      <c r="C337" s="4" t="str">
        <f t="shared" ca="1" si="42"/>
        <v>2024-09</v>
      </c>
      <c r="D337" s="5">
        <f t="shared" ca="1" si="40"/>
        <v>1.7361111111111112E-2</v>
      </c>
      <c r="E337" s="3" t="str" cm="1">
        <f t="array" aca="1" ref="E337" ca="1">INDEX(lista!$A$1:$A$12, RANDBETWEEN(1, 12))</f>
        <v>Villa El Salvador</v>
      </c>
      <c r="F337" s="3" t="s">
        <v>24</v>
      </c>
      <c r="G337" s="3" t="str" cm="1">
        <f t="array" aca="1" ref="G337" ca="1">INDEX(lista!$B$1:$B$6, RANDBETWEEN(1, 6))</f>
        <v>Ascensor</v>
      </c>
      <c r="H337" s="3" t="str" cm="1">
        <f t="array" aca="1" ref="H337" ca="1">INDEX(lista!$C$1:$C$4, RANDBETWEEN(1, 4))</f>
        <v>Falla eléctrica</v>
      </c>
      <c r="I337" s="3" t="str">
        <f t="shared" ca="1" si="43"/>
        <v>Media</v>
      </c>
      <c r="J337" s="3" t="str">
        <f t="shared" ca="1" si="44"/>
        <v>Atendida</v>
      </c>
      <c r="K337" s="4">
        <f t="shared" ca="1" si="45"/>
        <v>45548</v>
      </c>
      <c r="L337" s="1">
        <f t="shared" ca="1" si="46"/>
        <v>9</v>
      </c>
      <c r="M337" s="3" t="str">
        <f t="shared" ca="1" si="47"/>
        <v>Mantenimiento</v>
      </c>
    </row>
    <row r="338" spans="1:13" x14ac:dyDescent="0.3">
      <c r="A338" s="3">
        <f t="shared" si="41"/>
        <v>337</v>
      </c>
      <c r="B338" s="4">
        <f t="shared" ca="1" si="39"/>
        <v>45185</v>
      </c>
      <c r="C338" s="4" t="str">
        <f t="shared" ca="1" si="42"/>
        <v>2023-09</v>
      </c>
      <c r="D338" s="5">
        <f t="shared" ca="1" si="40"/>
        <v>0.88124999999999998</v>
      </c>
      <c r="E338" s="3" t="str" cm="1">
        <f t="array" aca="1" ref="E338" ca="1">INDEX(lista!$A$1:$A$12, RANDBETWEEN(1, 12))</f>
        <v>Cabitos</v>
      </c>
      <c r="F338" s="3" t="s">
        <v>24</v>
      </c>
      <c r="G338" s="3" t="str" cm="1">
        <f t="array" aca="1" ref="G338" ca="1">INDEX(lista!$B$1:$B$6, RANDBETWEEN(1, 6))</f>
        <v>MET</v>
      </c>
      <c r="H338" s="3" t="str" cm="1">
        <f t="array" aca="1" ref="H338" ca="1">INDEX(lista!$C$1:$C$4, RANDBETWEEN(1, 4))</f>
        <v>Falla eléctrica</v>
      </c>
      <c r="I338" s="3" t="str">
        <f t="shared" ca="1" si="43"/>
        <v>Media</v>
      </c>
      <c r="J338" s="3" t="str">
        <f t="shared" ca="1" si="44"/>
        <v>Atendida</v>
      </c>
      <c r="K338" s="4">
        <f t="shared" ca="1" si="45"/>
        <v>45187</v>
      </c>
      <c r="L338" s="1">
        <f t="shared" ca="1" si="46"/>
        <v>19</v>
      </c>
      <c r="M338" s="3" t="str">
        <f t="shared" ca="1" si="47"/>
        <v>Telecomunicaciones</v>
      </c>
    </row>
    <row r="339" spans="1:13" x14ac:dyDescent="0.3">
      <c r="A339" s="3">
        <f t="shared" si="41"/>
        <v>338</v>
      </c>
      <c r="B339" s="4">
        <f t="shared" ca="1" si="39"/>
        <v>45269</v>
      </c>
      <c r="C339" s="4" t="str">
        <f t="shared" ca="1" si="42"/>
        <v>2023-12</v>
      </c>
      <c r="D339" s="5">
        <f t="shared" ca="1" si="40"/>
        <v>8.3333333333333332E-3</v>
      </c>
      <c r="E339" s="3" t="str" cm="1">
        <f t="array" aca="1" ref="E339" ca="1">INDEX(lista!$A$1:$A$12, RANDBETWEEN(1, 12))</f>
        <v>Cabitos</v>
      </c>
      <c r="F339" s="3" t="s">
        <v>24</v>
      </c>
      <c r="G339" s="3" t="str" cm="1">
        <f t="array" aca="1" ref="G339" ca="1">INDEX(lista!$B$1:$B$6, RANDBETWEEN(1, 6))</f>
        <v>MET</v>
      </c>
      <c r="H339" s="3" t="str" cm="1">
        <f t="array" aca="1" ref="H339" ca="1">INDEX(lista!$C$1:$C$4, RANDBETWEEN(1, 4))</f>
        <v>Mantenimiento preventivo</v>
      </c>
      <c r="I339" s="3" t="str">
        <f t="shared" ca="1" si="43"/>
        <v>Baja</v>
      </c>
      <c r="J339" s="3" t="str">
        <f t="shared" ca="1" si="44"/>
        <v>Atendida</v>
      </c>
      <c r="K339" s="4">
        <f t="shared" ca="1" si="45"/>
        <v>45270</v>
      </c>
      <c r="L339" s="1">
        <f t="shared" ca="1" si="46"/>
        <v>16</v>
      </c>
      <c r="M339" s="3" t="str">
        <f t="shared" ca="1" si="47"/>
        <v>Telecomunicaciones</v>
      </c>
    </row>
    <row r="340" spans="1:13" x14ac:dyDescent="0.3">
      <c r="A340" s="3">
        <f t="shared" si="41"/>
        <v>339</v>
      </c>
      <c r="B340" s="4">
        <f t="shared" ca="1" si="39"/>
        <v>45307</v>
      </c>
      <c r="C340" s="4" t="str">
        <f t="shared" ca="1" si="42"/>
        <v>2024-01</v>
      </c>
      <c r="D340" s="5">
        <f t="shared" ca="1" si="40"/>
        <v>0.70277777777777772</v>
      </c>
      <c r="E340" s="3" t="str" cm="1">
        <f t="array" aca="1" ref="E340" ca="1">INDEX(lista!$A$1:$A$12, RANDBETWEEN(1, 12))</f>
        <v>Gamarra</v>
      </c>
      <c r="F340" s="3" t="s">
        <v>24</v>
      </c>
      <c r="G340" s="3" t="str" cm="1">
        <f t="array" aca="1" ref="G340" ca="1">INDEX(lista!$B$1:$B$6, RANDBETWEEN(1, 6))</f>
        <v>Radio</v>
      </c>
      <c r="H340" s="3" t="str" cm="1">
        <f t="array" aca="1" ref="H340" ca="1">INDEX(lista!$C$1:$C$4, RANDBETWEEN(1, 4))</f>
        <v>Mantenimiento preventivo</v>
      </c>
      <c r="I340" s="3" t="str">
        <f t="shared" ca="1" si="43"/>
        <v>Media</v>
      </c>
      <c r="J340" s="3" t="str">
        <f t="shared" ca="1" si="44"/>
        <v>En curso</v>
      </c>
      <c r="K340" s="4" t="str">
        <f t="shared" ca="1" si="45"/>
        <v/>
      </c>
      <c r="L340" s="1" t="str">
        <f t="shared" ca="1" si="46"/>
        <v/>
      </c>
      <c r="M340" s="3" t="str">
        <f t="shared" ca="1" si="47"/>
        <v>Telecomunicaciones</v>
      </c>
    </row>
    <row r="341" spans="1:13" x14ac:dyDescent="0.3">
      <c r="A341" s="3">
        <f t="shared" si="41"/>
        <v>340</v>
      </c>
      <c r="B341" s="4">
        <f t="shared" ca="1" si="39"/>
        <v>45305</v>
      </c>
      <c r="C341" s="4" t="str">
        <f t="shared" ca="1" si="42"/>
        <v>2024-01</v>
      </c>
      <c r="D341" s="5">
        <f t="shared" ca="1" si="40"/>
        <v>0.46111111111111108</v>
      </c>
      <c r="E341" s="3" t="str" cm="1">
        <f t="array" aca="1" ref="E341" ca="1">INDEX(lista!$A$1:$A$12, RANDBETWEEN(1, 12))</f>
        <v>Bayóvar</v>
      </c>
      <c r="F341" s="3" t="s">
        <v>24</v>
      </c>
      <c r="G341" s="3" t="str" cm="1">
        <f t="array" aca="1" ref="G341" ca="1">INDEX(lista!$B$1:$B$6, RANDBETWEEN(1, 6))</f>
        <v>TVM</v>
      </c>
      <c r="H341" s="3" t="str" cm="1">
        <f t="array" aca="1" ref="H341" ca="1">INDEX(lista!$C$1:$C$4, RANDBETWEEN(1, 4))</f>
        <v>Falla eléctrica</v>
      </c>
      <c r="I341" s="3" t="str">
        <f t="shared" ca="1" si="43"/>
        <v>Baja</v>
      </c>
      <c r="J341" s="3" t="str">
        <f t="shared" ca="1" si="44"/>
        <v>Atendida</v>
      </c>
      <c r="K341" s="4">
        <f t="shared" ca="1" si="45"/>
        <v>45305</v>
      </c>
      <c r="L341" s="1">
        <f t="shared" ca="1" si="46"/>
        <v>11</v>
      </c>
      <c r="M341" s="3" t="str">
        <f t="shared" ca="1" si="47"/>
        <v>Telecomunicaciones</v>
      </c>
    </row>
    <row r="342" spans="1:13" x14ac:dyDescent="0.3">
      <c r="A342" s="3">
        <f t="shared" si="41"/>
        <v>341</v>
      </c>
      <c r="B342" s="4">
        <f t="shared" ca="1" si="39"/>
        <v>44983</v>
      </c>
      <c r="C342" s="4" t="str">
        <f t="shared" ca="1" si="42"/>
        <v>2023-02</v>
      </c>
      <c r="D342" s="5">
        <f t="shared" ca="1" si="40"/>
        <v>6.5277777777777768E-2</v>
      </c>
      <c r="E342" s="3" t="str" cm="1">
        <f t="array" aca="1" ref="E342" ca="1">INDEX(lista!$A$1:$A$12, RANDBETWEEN(1, 12))</f>
        <v>Cabitos</v>
      </c>
      <c r="F342" s="3" t="s">
        <v>24</v>
      </c>
      <c r="G342" s="3" t="str" cm="1">
        <f t="array" aca="1" ref="G342" ca="1">INDEX(lista!$B$1:$B$6, RANDBETWEEN(1, 6))</f>
        <v>Ascensor</v>
      </c>
      <c r="H342" s="3" t="str" cm="1">
        <f t="array" aca="1" ref="H342" ca="1">INDEX(lista!$C$1:$C$4, RANDBETWEEN(1, 4))</f>
        <v>Falla mecánica</v>
      </c>
      <c r="I342" s="3" t="str">
        <f t="shared" ca="1" si="43"/>
        <v>Media</v>
      </c>
      <c r="J342" s="3" t="str">
        <f t="shared" ca="1" si="44"/>
        <v>Atendida</v>
      </c>
      <c r="K342" s="4">
        <f t="shared" ca="1" si="45"/>
        <v>44983</v>
      </c>
      <c r="L342" s="1">
        <f t="shared" ca="1" si="46"/>
        <v>4</v>
      </c>
      <c r="M342" s="3" t="str">
        <f t="shared" ca="1" si="47"/>
        <v>Mantenimiento</v>
      </c>
    </row>
    <row r="343" spans="1:13" x14ac:dyDescent="0.3">
      <c r="A343" s="3">
        <f t="shared" si="41"/>
        <v>342</v>
      </c>
      <c r="B343" s="4">
        <f t="shared" ca="1" si="39"/>
        <v>45202</v>
      </c>
      <c r="C343" s="4" t="str">
        <f t="shared" ca="1" si="42"/>
        <v>2023-10</v>
      </c>
      <c r="D343" s="5">
        <f t="shared" ca="1" si="40"/>
        <v>0.34513888888888888</v>
      </c>
      <c r="E343" s="3" t="str" cm="1">
        <f t="array" aca="1" ref="E343" ca="1">INDEX(lista!$A$1:$A$12, RANDBETWEEN(1, 12))</f>
        <v>Angamos</v>
      </c>
      <c r="F343" s="3" t="s">
        <v>24</v>
      </c>
      <c r="G343" s="3" t="str" cm="1">
        <f t="array" aca="1" ref="G343" ca="1">INDEX(lista!$B$1:$B$6, RANDBETWEEN(1, 6))</f>
        <v>TVM</v>
      </c>
      <c r="H343" s="3" t="str" cm="1">
        <f t="array" aca="1" ref="H343" ca="1">INDEX(lista!$C$1:$C$4, RANDBETWEEN(1, 4))</f>
        <v>Falla mecánica</v>
      </c>
      <c r="I343" s="3" t="str">
        <f t="shared" ca="1" si="43"/>
        <v>Media</v>
      </c>
      <c r="J343" s="3" t="str">
        <f t="shared" ca="1" si="44"/>
        <v>Pendiente</v>
      </c>
      <c r="K343" s="4" t="str">
        <f t="shared" ca="1" si="45"/>
        <v/>
      </c>
      <c r="L343" s="1" t="str">
        <f t="shared" ca="1" si="46"/>
        <v/>
      </c>
      <c r="M343" s="3" t="str">
        <f t="shared" ca="1" si="47"/>
        <v>Telecomunicaciones</v>
      </c>
    </row>
    <row r="344" spans="1:13" x14ac:dyDescent="0.3">
      <c r="A344" s="3">
        <f t="shared" si="41"/>
        <v>343</v>
      </c>
      <c r="B344" s="4">
        <f t="shared" ca="1" si="39"/>
        <v>44970</v>
      </c>
      <c r="C344" s="4" t="str">
        <f t="shared" ca="1" si="42"/>
        <v>2023-02</v>
      </c>
      <c r="D344" s="5">
        <f t="shared" ca="1" si="40"/>
        <v>0.84791666666666665</v>
      </c>
      <c r="E344" s="3" t="str" cm="1">
        <f t="array" aca="1" ref="E344" ca="1">INDEX(lista!$A$1:$A$12, RANDBETWEEN(1, 12))</f>
        <v>San Carlos</v>
      </c>
      <c r="F344" s="3" t="s">
        <v>24</v>
      </c>
      <c r="G344" s="3" t="str" cm="1">
        <f t="array" aca="1" ref="G344" ca="1">INDEX(lista!$B$1:$B$6, RANDBETWEEN(1, 6))</f>
        <v>MET</v>
      </c>
      <c r="H344" s="3" t="str" cm="1">
        <f t="array" aca="1" ref="H344" ca="1">INDEX(lista!$C$1:$C$4, RANDBETWEEN(1, 4))</f>
        <v>Mantenimiento preventivo</v>
      </c>
      <c r="I344" s="3" t="str">
        <f t="shared" ca="1" si="43"/>
        <v>Alta</v>
      </c>
      <c r="J344" s="3" t="str">
        <f t="shared" ca="1" si="44"/>
        <v>En curso</v>
      </c>
      <c r="K344" s="4" t="str">
        <f t="shared" ca="1" si="45"/>
        <v/>
      </c>
      <c r="L344" s="1" t="str">
        <f t="shared" ca="1" si="46"/>
        <v/>
      </c>
      <c r="M344" s="3" t="str">
        <f t="shared" ca="1" si="47"/>
        <v>Telecomunicaciones</v>
      </c>
    </row>
    <row r="345" spans="1:13" x14ac:dyDescent="0.3">
      <c r="A345" s="3">
        <f t="shared" si="41"/>
        <v>344</v>
      </c>
      <c r="B345" s="4">
        <f t="shared" ca="1" si="39"/>
        <v>45015</v>
      </c>
      <c r="C345" s="4" t="str">
        <f t="shared" ca="1" si="42"/>
        <v>2023-03</v>
      </c>
      <c r="D345" s="5">
        <f t="shared" ca="1" si="40"/>
        <v>0.45625000000000004</v>
      </c>
      <c r="E345" s="3" t="str" cm="1">
        <f t="array" aca="1" ref="E345" ca="1">INDEX(lista!$A$1:$A$12, RANDBETWEEN(1, 12))</f>
        <v>Bayóvar</v>
      </c>
      <c r="F345" s="3" t="s">
        <v>24</v>
      </c>
      <c r="G345" s="3" t="str" cm="1">
        <f t="array" aca="1" ref="G345" ca="1">INDEX(lista!$B$1:$B$6, RANDBETWEEN(1, 6))</f>
        <v>Radio</v>
      </c>
      <c r="H345" s="3" t="str" cm="1">
        <f t="array" aca="1" ref="H345" ca="1">INDEX(lista!$C$1:$C$4, RANDBETWEEN(1, 4))</f>
        <v>Falla eléctrica</v>
      </c>
      <c r="I345" s="3" t="str">
        <f t="shared" ca="1" si="43"/>
        <v>Alta</v>
      </c>
      <c r="J345" s="3" t="str">
        <f t="shared" ca="1" si="44"/>
        <v>Pendiente</v>
      </c>
      <c r="K345" s="4" t="str">
        <f t="shared" ca="1" si="45"/>
        <v/>
      </c>
      <c r="L345" s="1" t="str">
        <f t="shared" ca="1" si="46"/>
        <v/>
      </c>
      <c r="M345" s="3" t="str">
        <f t="shared" ca="1" si="47"/>
        <v>Telecomunicaciones</v>
      </c>
    </row>
    <row r="346" spans="1:13" x14ac:dyDescent="0.3">
      <c r="A346" s="3">
        <f t="shared" si="41"/>
        <v>345</v>
      </c>
      <c r="B346" s="4">
        <f t="shared" ca="1" si="39"/>
        <v>45164</v>
      </c>
      <c r="C346" s="4" t="str">
        <f t="shared" ca="1" si="42"/>
        <v>2023-08</v>
      </c>
      <c r="D346" s="5">
        <f t="shared" ca="1" si="40"/>
        <v>0.37361111111111112</v>
      </c>
      <c r="E346" s="3" t="str" cm="1">
        <f t="array" aca="1" ref="E346" ca="1">INDEX(lista!$A$1:$A$12, RANDBETWEEN(1, 12))</f>
        <v>Pumacahua</v>
      </c>
      <c r="F346" s="3" t="s">
        <v>24</v>
      </c>
      <c r="G346" s="3" t="str" cm="1">
        <f t="array" aca="1" ref="G346" ca="1">INDEX(lista!$B$1:$B$6, RANDBETWEEN(1, 6))</f>
        <v>Ascensor</v>
      </c>
      <c r="H346" s="3" t="str" cm="1">
        <f t="array" aca="1" ref="H346" ca="1">INDEX(lista!$C$1:$C$4, RANDBETWEEN(1, 4))</f>
        <v>Falla eléctrica</v>
      </c>
      <c r="I346" s="3" t="str">
        <f t="shared" ca="1" si="43"/>
        <v>Media</v>
      </c>
      <c r="J346" s="3" t="str">
        <f t="shared" ca="1" si="44"/>
        <v>Atendida</v>
      </c>
      <c r="K346" s="4">
        <f t="shared" ca="1" si="45"/>
        <v>45166</v>
      </c>
      <c r="L346" s="1">
        <f t="shared" ca="1" si="46"/>
        <v>20</v>
      </c>
      <c r="M346" s="3" t="str">
        <f t="shared" ca="1" si="47"/>
        <v>Mantenimiento</v>
      </c>
    </row>
    <row r="347" spans="1:13" x14ac:dyDescent="0.3">
      <c r="A347" s="3">
        <f t="shared" si="41"/>
        <v>346</v>
      </c>
      <c r="B347" s="4">
        <f t="shared" ca="1" si="39"/>
        <v>45074</v>
      </c>
      <c r="C347" s="4" t="str">
        <f t="shared" ca="1" si="42"/>
        <v>2023-05</v>
      </c>
      <c r="D347" s="5">
        <f t="shared" ca="1" si="40"/>
        <v>0.22500000000000001</v>
      </c>
      <c r="E347" s="3" t="str" cm="1">
        <f t="array" aca="1" ref="E347" ca="1">INDEX(lista!$A$1:$A$12, RANDBETWEEN(1, 12))</f>
        <v>San Borja Sur</v>
      </c>
      <c r="F347" s="3" t="s">
        <v>24</v>
      </c>
      <c r="G347" s="3" t="str" cm="1">
        <f t="array" aca="1" ref="G347" ca="1">INDEX(lista!$B$1:$B$6, RANDBETWEEN(1, 6))</f>
        <v>Radio</v>
      </c>
      <c r="H347" s="3" t="str" cm="1">
        <f t="array" aca="1" ref="H347" ca="1">INDEX(lista!$C$1:$C$4, RANDBETWEEN(1, 4))</f>
        <v>Mantenimiento preventivo</v>
      </c>
      <c r="I347" s="3" t="str">
        <f t="shared" ca="1" si="43"/>
        <v>Media</v>
      </c>
      <c r="J347" s="3" t="str">
        <f t="shared" ca="1" si="44"/>
        <v>Atendida</v>
      </c>
      <c r="K347" s="4">
        <f t="shared" ca="1" si="45"/>
        <v>45075</v>
      </c>
      <c r="L347" s="1">
        <f t="shared" ca="1" si="46"/>
        <v>10</v>
      </c>
      <c r="M347" s="3" t="str">
        <f t="shared" ca="1" si="47"/>
        <v>Telecomunicaciones</v>
      </c>
    </row>
    <row r="348" spans="1:13" x14ac:dyDescent="0.3">
      <c r="A348" s="3">
        <f t="shared" si="41"/>
        <v>347</v>
      </c>
      <c r="B348" s="4">
        <f t="shared" ca="1" si="39"/>
        <v>45186</v>
      </c>
      <c r="C348" s="4" t="str">
        <f t="shared" ca="1" si="42"/>
        <v>2023-09</v>
      </c>
      <c r="D348" s="5">
        <f t="shared" ca="1" si="40"/>
        <v>0.60763888888888895</v>
      </c>
      <c r="E348" s="3" t="str" cm="1">
        <f t="array" aca="1" ref="E348" ca="1">INDEX(lista!$A$1:$A$12, RANDBETWEEN(1, 12))</f>
        <v>Villa El Salvador</v>
      </c>
      <c r="F348" s="3" t="s">
        <v>24</v>
      </c>
      <c r="G348" s="3" t="str" cm="1">
        <f t="array" aca="1" ref="G348" ca="1">INDEX(lista!$B$1:$B$6, RANDBETWEEN(1, 6))</f>
        <v>Torniquete</v>
      </c>
      <c r="H348" s="3" t="str" cm="1">
        <f t="array" aca="1" ref="H348" ca="1">INDEX(lista!$C$1:$C$4, RANDBETWEEN(1, 4))</f>
        <v>Daño en infraestructura</v>
      </c>
      <c r="I348" s="3" t="str">
        <f t="shared" ca="1" si="43"/>
        <v>Alta</v>
      </c>
      <c r="J348" s="3" t="str">
        <f t="shared" ca="1" si="44"/>
        <v>En curso</v>
      </c>
      <c r="K348" s="4" t="str">
        <f t="shared" ca="1" si="45"/>
        <v/>
      </c>
      <c r="L348" s="1" t="str">
        <f t="shared" ca="1" si="46"/>
        <v/>
      </c>
      <c r="M348" s="3" t="str">
        <f t="shared" ca="1" si="47"/>
        <v>Telecomunicaciones</v>
      </c>
    </row>
    <row r="349" spans="1:13" x14ac:dyDescent="0.3">
      <c r="A349" s="3">
        <f t="shared" si="41"/>
        <v>348</v>
      </c>
      <c r="B349" s="4">
        <f t="shared" ca="1" si="39"/>
        <v>45367</v>
      </c>
      <c r="C349" s="4" t="str">
        <f t="shared" ca="1" si="42"/>
        <v>2024-03</v>
      </c>
      <c r="D349" s="5">
        <f t="shared" ca="1" si="40"/>
        <v>6.041666666666666E-2</v>
      </c>
      <c r="E349" s="3" t="str" cm="1">
        <f t="array" aca="1" ref="E349" ca="1">INDEX(lista!$A$1:$A$12, RANDBETWEEN(1, 12))</f>
        <v>Gamarra</v>
      </c>
      <c r="F349" s="3" t="s">
        <v>24</v>
      </c>
      <c r="G349" s="3" t="str" cm="1">
        <f t="array" aca="1" ref="G349" ca="1">INDEX(lista!$B$1:$B$6, RANDBETWEEN(1, 6))</f>
        <v>MET</v>
      </c>
      <c r="H349" s="3" t="str" cm="1">
        <f t="array" aca="1" ref="H349" ca="1">INDEX(lista!$C$1:$C$4, RANDBETWEEN(1, 4))</f>
        <v>Falla eléctrica</v>
      </c>
      <c r="I349" s="3" t="str">
        <f t="shared" ca="1" si="43"/>
        <v>Media</v>
      </c>
      <c r="J349" s="3" t="str">
        <f t="shared" ca="1" si="44"/>
        <v>Atendida</v>
      </c>
      <c r="K349" s="4">
        <f t="shared" ca="1" si="45"/>
        <v>45369</v>
      </c>
      <c r="L349" s="1">
        <f t="shared" ca="1" si="46"/>
        <v>21</v>
      </c>
      <c r="M349" s="3" t="str">
        <f t="shared" ca="1" si="47"/>
        <v>Telecomunicaciones</v>
      </c>
    </row>
    <row r="350" spans="1:13" x14ac:dyDescent="0.3">
      <c r="A350" s="3">
        <f t="shared" si="41"/>
        <v>349</v>
      </c>
      <c r="B350" s="4">
        <f t="shared" ca="1" si="39"/>
        <v>45546</v>
      </c>
      <c r="C350" s="4" t="str">
        <f t="shared" ca="1" si="42"/>
        <v>2024-09</v>
      </c>
      <c r="D350" s="5">
        <f t="shared" ca="1" si="40"/>
        <v>0.37083333333333329</v>
      </c>
      <c r="E350" s="3" t="str" cm="1">
        <f t="array" aca="1" ref="E350" ca="1">INDEX(lista!$A$1:$A$12, RANDBETWEEN(1, 12))</f>
        <v>La Cultura</v>
      </c>
      <c r="F350" s="3" t="s">
        <v>24</v>
      </c>
      <c r="G350" s="3" t="str" cm="1">
        <f t="array" aca="1" ref="G350" ca="1">INDEX(lista!$B$1:$B$6, RANDBETWEEN(1, 6))</f>
        <v>TVM</v>
      </c>
      <c r="H350" s="3" t="str" cm="1">
        <f t="array" aca="1" ref="H350" ca="1">INDEX(lista!$C$1:$C$4, RANDBETWEEN(1, 4))</f>
        <v>Falla mecánica</v>
      </c>
      <c r="I350" s="3" t="str">
        <f t="shared" ca="1" si="43"/>
        <v>Baja</v>
      </c>
      <c r="J350" s="3" t="str">
        <f t="shared" ca="1" si="44"/>
        <v>Pendiente</v>
      </c>
      <c r="K350" s="4" t="str">
        <f t="shared" ca="1" si="45"/>
        <v/>
      </c>
      <c r="L350" s="1" t="str">
        <f t="shared" ca="1" si="46"/>
        <v/>
      </c>
      <c r="M350" s="3" t="str">
        <f t="shared" ca="1" si="47"/>
        <v>Telecomunicaciones</v>
      </c>
    </row>
    <row r="351" spans="1:13" x14ac:dyDescent="0.3">
      <c r="A351" s="3">
        <f t="shared" si="41"/>
        <v>350</v>
      </c>
      <c r="B351" s="4">
        <f t="shared" ca="1" si="39"/>
        <v>45424</v>
      </c>
      <c r="C351" s="4" t="str">
        <f t="shared" ca="1" si="42"/>
        <v>2024-05</v>
      </c>
      <c r="D351" s="5">
        <f t="shared" ca="1" si="40"/>
        <v>0.83333333333333337</v>
      </c>
      <c r="E351" s="3" t="str" cm="1">
        <f t="array" aca="1" ref="E351" ca="1">INDEX(lista!$A$1:$A$12, RANDBETWEEN(1, 12))</f>
        <v>Santa Rosa</v>
      </c>
      <c r="F351" s="3" t="s">
        <v>24</v>
      </c>
      <c r="G351" s="3" t="str" cm="1">
        <f t="array" aca="1" ref="G351" ca="1">INDEX(lista!$B$1:$B$6, RANDBETWEEN(1, 6))</f>
        <v>MET</v>
      </c>
      <c r="H351" s="3" t="str" cm="1">
        <f t="array" aca="1" ref="H351" ca="1">INDEX(lista!$C$1:$C$4, RANDBETWEEN(1, 4))</f>
        <v>Falla mecánica</v>
      </c>
      <c r="I351" s="3" t="str">
        <f t="shared" ca="1" si="43"/>
        <v>Alta</v>
      </c>
      <c r="J351" s="3" t="str">
        <f t="shared" ca="1" si="44"/>
        <v>Atendida</v>
      </c>
      <c r="K351" s="4">
        <f t="shared" ca="1" si="45"/>
        <v>45426</v>
      </c>
      <c r="L351" s="1">
        <f t="shared" ca="1" si="46"/>
        <v>5</v>
      </c>
      <c r="M351" s="3" t="str">
        <f t="shared" ca="1" si="47"/>
        <v>Telecomunicaciones</v>
      </c>
    </row>
    <row r="352" spans="1:13" x14ac:dyDescent="0.3">
      <c r="A352" s="3">
        <f t="shared" si="41"/>
        <v>351</v>
      </c>
      <c r="B352" s="4">
        <f t="shared" ca="1" si="39"/>
        <v>44997</v>
      </c>
      <c r="C352" s="4" t="str">
        <f t="shared" ca="1" si="42"/>
        <v>2023-03</v>
      </c>
      <c r="D352" s="5">
        <f t="shared" ca="1" si="40"/>
        <v>0.9375</v>
      </c>
      <c r="E352" s="3" t="str" cm="1">
        <f t="array" aca="1" ref="E352" ca="1">INDEX(lista!$A$1:$A$12, RANDBETWEEN(1, 12))</f>
        <v>La Cultura</v>
      </c>
      <c r="F352" s="3" t="s">
        <v>24</v>
      </c>
      <c r="G352" s="3" t="str" cm="1">
        <f t="array" aca="1" ref="G352" ca="1">INDEX(lista!$B$1:$B$6, RANDBETWEEN(1, 6))</f>
        <v>Escalera eléctrica</v>
      </c>
      <c r="H352" s="3" t="str" cm="1">
        <f t="array" aca="1" ref="H352" ca="1">INDEX(lista!$C$1:$C$4, RANDBETWEEN(1, 4))</f>
        <v>Falla mecánica</v>
      </c>
      <c r="I352" s="3" t="str">
        <f t="shared" ca="1" si="43"/>
        <v>Alta</v>
      </c>
      <c r="J352" s="3" t="str">
        <f t="shared" ca="1" si="44"/>
        <v>Atendida</v>
      </c>
      <c r="K352" s="4">
        <f t="shared" ca="1" si="45"/>
        <v>44998</v>
      </c>
      <c r="L352" s="1">
        <f t="shared" ca="1" si="46"/>
        <v>14</v>
      </c>
      <c r="M352" s="3" t="str">
        <f t="shared" ca="1" si="47"/>
        <v>Mantenimiento</v>
      </c>
    </row>
    <row r="353" spans="1:13" x14ac:dyDescent="0.3">
      <c r="A353" s="3">
        <f t="shared" si="41"/>
        <v>352</v>
      </c>
      <c r="B353" s="4">
        <f t="shared" ca="1" si="39"/>
        <v>45172</v>
      </c>
      <c r="C353" s="4" t="str">
        <f t="shared" ca="1" si="42"/>
        <v>2023-09</v>
      </c>
      <c r="D353" s="5">
        <f t="shared" ca="1" si="40"/>
        <v>0.6694444444444444</v>
      </c>
      <c r="E353" s="3" t="str" cm="1">
        <f t="array" aca="1" ref="E353" ca="1">INDEX(lista!$A$1:$A$12, RANDBETWEEN(1, 12))</f>
        <v>La Cultura</v>
      </c>
      <c r="F353" s="3" t="s">
        <v>24</v>
      </c>
      <c r="G353" s="3" t="str" cm="1">
        <f t="array" aca="1" ref="G353" ca="1">INDEX(lista!$B$1:$B$6, RANDBETWEEN(1, 6))</f>
        <v>Torniquete</v>
      </c>
      <c r="H353" s="3" t="str" cm="1">
        <f t="array" aca="1" ref="H353" ca="1">INDEX(lista!$C$1:$C$4, RANDBETWEEN(1, 4))</f>
        <v>Falla mecánica</v>
      </c>
      <c r="I353" s="3" t="str">
        <f t="shared" ca="1" si="43"/>
        <v>Media</v>
      </c>
      <c r="J353" s="3" t="str">
        <f t="shared" ca="1" si="44"/>
        <v>Pendiente</v>
      </c>
      <c r="K353" s="4" t="str">
        <f t="shared" ca="1" si="45"/>
        <v/>
      </c>
      <c r="L353" s="1" t="str">
        <f t="shared" ca="1" si="46"/>
        <v/>
      </c>
      <c r="M353" s="3" t="str">
        <f t="shared" ca="1" si="47"/>
        <v>Telecomunicaciones</v>
      </c>
    </row>
    <row r="354" spans="1:13" x14ac:dyDescent="0.3">
      <c r="A354" s="3">
        <f t="shared" si="41"/>
        <v>353</v>
      </c>
      <c r="B354" s="4">
        <f t="shared" ca="1" si="39"/>
        <v>45039</v>
      </c>
      <c r="C354" s="4" t="str">
        <f t="shared" ca="1" si="42"/>
        <v>2023-04</v>
      </c>
      <c r="D354" s="5">
        <f t="shared" ca="1" si="40"/>
        <v>0.3569444444444444</v>
      </c>
      <c r="E354" s="3" t="str" cm="1">
        <f t="array" aca="1" ref="E354" ca="1">INDEX(lista!$A$1:$A$12, RANDBETWEEN(1, 12))</f>
        <v>Angamos</v>
      </c>
      <c r="F354" s="3" t="s">
        <v>24</v>
      </c>
      <c r="G354" s="3" t="str" cm="1">
        <f t="array" aca="1" ref="G354" ca="1">INDEX(lista!$B$1:$B$6, RANDBETWEEN(1, 6))</f>
        <v>Escalera eléctrica</v>
      </c>
      <c r="H354" s="3" t="str" cm="1">
        <f t="array" aca="1" ref="H354" ca="1">INDEX(lista!$C$1:$C$4, RANDBETWEEN(1, 4))</f>
        <v>Falla mecánica</v>
      </c>
      <c r="I354" s="3" t="str">
        <f t="shared" ca="1" si="43"/>
        <v>Media</v>
      </c>
      <c r="J354" s="3" t="str">
        <f t="shared" ca="1" si="44"/>
        <v>Pendiente</v>
      </c>
      <c r="K354" s="4" t="str">
        <f t="shared" ca="1" si="45"/>
        <v/>
      </c>
      <c r="L354" s="1" t="str">
        <f t="shared" ca="1" si="46"/>
        <v/>
      </c>
      <c r="M354" s="3" t="str">
        <f t="shared" ca="1" si="47"/>
        <v>Mantenimiento</v>
      </c>
    </row>
    <row r="355" spans="1:13" x14ac:dyDescent="0.3">
      <c r="A355" s="3">
        <f t="shared" si="41"/>
        <v>354</v>
      </c>
      <c r="B355" s="4">
        <f t="shared" ca="1" si="39"/>
        <v>44996</v>
      </c>
      <c r="C355" s="4" t="str">
        <f t="shared" ca="1" si="42"/>
        <v>2023-03</v>
      </c>
      <c r="D355" s="5">
        <f t="shared" ca="1" si="40"/>
        <v>0.6645833333333333</v>
      </c>
      <c r="E355" s="3" t="str" cm="1">
        <f t="array" aca="1" ref="E355" ca="1">INDEX(lista!$A$1:$A$12, RANDBETWEEN(1, 12))</f>
        <v>Angamos</v>
      </c>
      <c r="F355" s="3" t="s">
        <v>24</v>
      </c>
      <c r="G355" s="3" t="str" cm="1">
        <f t="array" aca="1" ref="G355" ca="1">INDEX(lista!$B$1:$B$6, RANDBETWEEN(1, 6))</f>
        <v>Escalera eléctrica</v>
      </c>
      <c r="H355" s="3" t="str" cm="1">
        <f t="array" aca="1" ref="H355" ca="1">INDEX(lista!$C$1:$C$4, RANDBETWEEN(1, 4))</f>
        <v>Mantenimiento preventivo</v>
      </c>
      <c r="I355" s="3" t="str">
        <f t="shared" ca="1" si="43"/>
        <v>Media</v>
      </c>
      <c r="J355" s="3" t="str">
        <f t="shared" ca="1" si="44"/>
        <v>Atendida</v>
      </c>
      <c r="K355" s="4">
        <f t="shared" ca="1" si="45"/>
        <v>44996</v>
      </c>
      <c r="L355" s="1">
        <f t="shared" ca="1" si="46"/>
        <v>24</v>
      </c>
      <c r="M355" s="3" t="str">
        <f t="shared" ca="1" si="47"/>
        <v>Mantenimiento</v>
      </c>
    </row>
    <row r="356" spans="1:13" x14ac:dyDescent="0.3">
      <c r="A356" s="3">
        <f t="shared" si="41"/>
        <v>355</v>
      </c>
      <c r="B356" s="4">
        <f t="shared" ca="1" si="39"/>
        <v>44991</v>
      </c>
      <c r="C356" s="4" t="str">
        <f t="shared" ca="1" si="42"/>
        <v>2023-03</v>
      </c>
      <c r="D356" s="5">
        <f t="shared" ca="1" si="40"/>
        <v>0.24027777777777778</v>
      </c>
      <c r="E356" s="3" t="str" cm="1">
        <f t="array" aca="1" ref="E356" ca="1">INDEX(lista!$A$1:$A$12, RANDBETWEEN(1, 12))</f>
        <v>Gamarra</v>
      </c>
      <c r="F356" s="3" t="s">
        <v>24</v>
      </c>
      <c r="G356" s="3" t="str" cm="1">
        <f t="array" aca="1" ref="G356" ca="1">INDEX(lista!$B$1:$B$6, RANDBETWEEN(1, 6))</f>
        <v>Torniquete</v>
      </c>
      <c r="H356" s="3" t="str" cm="1">
        <f t="array" aca="1" ref="H356" ca="1">INDEX(lista!$C$1:$C$4, RANDBETWEEN(1, 4))</f>
        <v>Daño en infraestructura</v>
      </c>
      <c r="I356" s="3" t="str">
        <f t="shared" ca="1" si="43"/>
        <v>Alta</v>
      </c>
      <c r="J356" s="3" t="str">
        <f t="shared" ca="1" si="44"/>
        <v>Pendiente</v>
      </c>
      <c r="K356" s="4" t="str">
        <f t="shared" ca="1" si="45"/>
        <v/>
      </c>
      <c r="L356" s="1" t="str">
        <f t="shared" ca="1" si="46"/>
        <v/>
      </c>
      <c r="M356" s="3" t="str">
        <f t="shared" ca="1" si="47"/>
        <v>Telecomunicaciones</v>
      </c>
    </row>
    <row r="357" spans="1:13" x14ac:dyDescent="0.3">
      <c r="A357" s="3">
        <f t="shared" si="41"/>
        <v>356</v>
      </c>
      <c r="B357" s="4">
        <f t="shared" ca="1" si="39"/>
        <v>45425</v>
      </c>
      <c r="C357" s="4" t="str">
        <f t="shared" ca="1" si="42"/>
        <v>2024-05</v>
      </c>
      <c r="D357" s="5">
        <f t="shared" ca="1" si="40"/>
        <v>0.82152777777777775</v>
      </c>
      <c r="E357" s="3" t="str" cm="1">
        <f t="array" aca="1" ref="E357" ca="1">INDEX(lista!$A$1:$A$12, RANDBETWEEN(1, 12))</f>
        <v>Santa Rosa</v>
      </c>
      <c r="F357" s="3" t="s">
        <v>24</v>
      </c>
      <c r="G357" s="3" t="str" cm="1">
        <f t="array" aca="1" ref="G357" ca="1">INDEX(lista!$B$1:$B$6, RANDBETWEEN(1, 6))</f>
        <v>MET</v>
      </c>
      <c r="H357" s="3" t="str" cm="1">
        <f t="array" aca="1" ref="H357" ca="1">INDEX(lista!$C$1:$C$4, RANDBETWEEN(1, 4))</f>
        <v>Mantenimiento preventivo</v>
      </c>
      <c r="I357" s="3" t="str">
        <f t="shared" ca="1" si="43"/>
        <v>Media</v>
      </c>
      <c r="J357" s="3" t="str">
        <f t="shared" ca="1" si="44"/>
        <v>Atendida</v>
      </c>
      <c r="K357" s="4">
        <f t="shared" ca="1" si="45"/>
        <v>45425</v>
      </c>
      <c r="L357" s="1">
        <f t="shared" ca="1" si="46"/>
        <v>12</v>
      </c>
      <c r="M357" s="3" t="str">
        <f t="shared" ca="1" si="47"/>
        <v>Telecomunicaciones</v>
      </c>
    </row>
    <row r="358" spans="1:13" x14ac:dyDescent="0.3">
      <c r="A358" s="3">
        <f t="shared" si="41"/>
        <v>357</v>
      </c>
      <c r="B358" s="4">
        <f t="shared" ca="1" si="39"/>
        <v>45589</v>
      </c>
      <c r="C358" s="4" t="str">
        <f t="shared" ca="1" si="42"/>
        <v>2024-10</v>
      </c>
      <c r="D358" s="5">
        <f t="shared" ca="1" si="40"/>
        <v>0.98055555555555562</v>
      </c>
      <c r="E358" s="3" t="str" cm="1">
        <f t="array" aca="1" ref="E358" ca="1">INDEX(lista!$A$1:$A$12, RANDBETWEEN(1, 12))</f>
        <v>San Borja Sur</v>
      </c>
      <c r="F358" s="3" t="s">
        <v>24</v>
      </c>
      <c r="G358" s="3" t="str" cm="1">
        <f t="array" aca="1" ref="G358" ca="1">INDEX(lista!$B$1:$B$6, RANDBETWEEN(1, 6))</f>
        <v>Torniquete</v>
      </c>
      <c r="H358" s="3" t="str" cm="1">
        <f t="array" aca="1" ref="H358" ca="1">INDEX(lista!$C$1:$C$4, RANDBETWEEN(1, 4))</f>
        <v>Falla eléctrica</v>
      </c>
      <c r="I358" s="3" t="str">
        <f t="shared" ca="1" si="43"/>
        <v>Baja</v>
      </c>
      <c r="J358" s="3" t="str">
        <f t="shared" ca="1" si="44"/>
        <v>Pendiente</v>
      </c>
      <c r="K358" s="4" t="str">
        <f t="shared" ca="1" si="45"/>
        <v/>
      </c>
      <c r="L358" s="1" t="str">
        <f t="shared" ca="1" si="46"/>
        <v/>
      </c>
      <c r="M358" s="3" t="str">
        <f t="shared" ca="1" si="47"/>
        <v>Telecomunicaciones</v>
      </c>
    </row>
    <row r="359" spans="1:13" x14ac:dyDescent="0.3">
      <c r="A359" s="3">
        <f t="shared" si="41"/>
        <v>358</v>
      </c>
      <c r="B359" s="4">
        <f t="shared" ca="1" si="39"/>
        <v>45311</v>
      </c>
      <c r="C359" s="4" t="str">
        <f t="shared" ca="1" si="42"/>
        <v>2024-01</v>
      </c>
      <c r="D359" s="5">
        <f t="shared" ca="1" si="40"/>
        <v>0.98541666666666672</v>
      </c>
      <c r="E359" s="3" t="str" cm="1">
        <f t="array" aca="1" ref="E359" ca="1">INDEX(lista!$A$1:$A$12, RANDBETWEEN(1, 12))</f>
        <v>Gamarra</v>
      </c>
      <c r="F359" s="3" t="s">
        <v>24</v>
      </c>
      <c r="G359" s="3" t="str" cm="1">
        <f t="array" aca="1" ref="G359" ca="1">INDEX(lista!$B$1:$B$6, RANDBETWEEN(1, 6))</f>
        <v>Radio</v>
      </c>
      <c r="H359" s="3" t="str" cm="1">
        <f t="array" aca="1" ref="H359" ca="1">INDEX(lista!$C$1:$C$4, RANDBETWEEN(1, 4))</f>
        <v>Falla mecánica</v>
      </c>
      <c r="I359" s="3" t="str">
        <f t="shared" ca="1" si="43"/>
        <v>Alta</v>
      </c>
      <c r="J359" s="3" t="str">
        <f t="shared" ca="1" si="44"/>
        <v>Atendida</v>
      </c>
      <c r="K359" s="4">
        <f t="shared" ca="1" si="45"/>
        <v>45311</v>
      </c>
      <c r="L359" s="1">
        <f t="shared" ca="1" si="46"/>
        <v>17</v>
      </c>
      <c r="M359" s="3" t="str">
        <f t="shared" ca="1" si="47"/>
        <v>Telecomunicaciones</v>
      </c>
    </row>
    <row r="360" spans="1:13" x14ac:dyDescent="0.3">
      <c r="A360" s="3">
        <f t="shared" si="41"/>
        <v>359</v>
      </c>
      <c r="B360" s="4">
        <f t="shared" ca="1" si="39"/>
        <v>45628</v>
      </c>
      <c r="C360" s="4" t="str">
        <f t="shared" ca="1" si="42"/>
        <v>2024-12</v>
      </c>
      <c r="D360" s="5">
        <f t="shared" ca="1" si="40"/>
        <v>0.2895833333333333</v>
      </c>
      <c r="E360" s="3" t="str" cm="1">
        <f t="array" aca="1" ref="E360" ca="1">INDEX(lista!$A$1:$A$12, RANDBETWEEN(1, 12))</f>
        <v>La Cultura</v>
      </c>
      <c r="F360" s="3" t="s">
        <v>24</v>
      </c>
      <c r="G360" s="3" t="str" cm="1">
        <f t="array" aca="1" ref="G360" ca="1">INDEX(lista!$B$1:$B$6, RANDBETWEEN(1, 6))</f>
        <v>Radio</v>
      </c>
      <c r="H360" s="3" t="str" cm="1">
        <f t="array" aca="1" ref="H360" ca="1">INDEX(lista!$C$1:$C$4, RANDBETWEEN(1, 4))</f>
        <v>Daño en infraestructura</v>
      </c>
      <c r="I360" s="3" t="str">
        <f t="shared" ca="1" si="43"/>
        <v>Media</v>
      </c>
      <c r="J360" s="3" t="str">
        <f t="shared" ca="1" si="44"/>
        <v>Atendida</v>
      </c>
      <c r="K360" s="4">
        <f t="shared" ca="1" si="45"/>
        <v>45628</v>
      </c>
      <c r="L360" s="1">
        <f t="shared" ca="1" si="46"/>
        <v>9</v>
      </c>
      <c r="M360" s="3" t="str">
        <f t="shared" ca="1" si="47"/>
        <v>Telecomunicaciones</v>
      </c>
    </row>
    <row r="361" spans="1:13" x14ac:dyDescent="0.3">
      <c r="A361" s="3">
        <f t="shared" si="41"/>
        <v>360</v>
      </c>
      <c r="B361" s="4">
        <f t="shared" ca="1" si="39"/>
        <v>45192</v>
      </c>
      <c r="C361" s="4" t="str">
        <f t="shared" ca="1" si="42"/>
        <v>2023-09</v>
      </c>
      <c r="D361" s="5">
        <f t="shared" ca="1" si="40"/>
        <v>0.84444444444444444</v>
      </c>
      <c r="E361" s="3" t="str" cm="1">
        <f t="array" aca="1" ref="E361" ca="1">INDEX(lista!$A$1:$A$12, RANDBETWEEN(1, 12))</f>
        <v>Bayóvar</v>
      </c>
      <c r="F361" s="3" t="s">
        <v>24</v>
      </c>
      <c r="G361" s="3" t="str" cm="1">
        <f t="array" aca="1" ref="G361" ca="1">INDEX(lista!$B$1:$B$6, RANDBETWEEN(1, 6))</f>
        <v>Torniquete</v>
      </c>
      <c r="H361" s="3" t="str" cm="1">
        <f t="array" aca="1" ref="H361" ca="1">INDEX(lista!$C$1:$C$4, RANDBETWEEN(1, 4))</f>
        <v>Falla eléctrica</v>
      </c>
      <c r="I361" s="3" t="str">
        <f t="shared" ca="1" si="43"/>
        <v>Media</v>
      </c>
      <c r="J361" s="3" t="str">
        <f t="shared" ca="1" si="44"/>
        <v>Atendida</v>
      </c>
      <c r="K361" s="4">
        <f t="shared" ca="1" si="45"/>
        <v>45192</v>
      </c>
      <c r="L361" s="1">
        <f t="shared" ca="1" si="46"/>
        <v>8</v>
      </c>
      <c r="M361" s="3" t="str">
        <f t="shared" ca="1" si="47"/>
        <v>Telecomunicaciones</v>
      </c>
    </row>
    <row r="362" spans="1:13" x14ac:dyDescent="0.3">
      <c r="A362" s="3">
        <f t="shared" si="41"/>
        <v>361</v>
      </c>
      <c r="B362" s="4">
        <f t="shared" ca="1" si="39"/>
        <v>45511</v>
      </c>
      <c r="C362" s="4" t="str">
        <f t="shared" ca="1" si="42"/>
        <v>2024-08</v>
      </c>
      <c r="D362" s="5">
        <f t="shared" ca="1" si="40"/>
        <v>0.68055555555555547</v>
      </c>
      <c r="E362" s="3" t="str" cm="1">
        <f t="array" aca="1" ref="E362" ca="1">INDEX(lista!$A$1:$A$12, RANDBETWEEN(1, 12))</f>
        <v>Atocongo</v>
      </c>
      <c r="F362" s="3" t="s">
        <v>24</v>
      </c>
      <c r="G362" s="3" t="str" cm="1">
        <f t="array" aca="1" ref="G362" ca="1">INDEX(lista!$B$1:$B$6, RANDBETWEEN(1, 6))</f>
        <v>Torniquete</v>
      </c>
      <c r="H362" s="3" t="str" cm="1">
        <f t="array" aca="1" ref="H362" ca="1">INDEX(lista!$C$1:$C$4, RANDBETWEEN(1, 4))</f>
        <v>Mantenimiento preventivo</v>
      </c>
      <c r="I362" s="3" t="str">
        <f t="shared" ca="1" si="43"/>
        <v>Baja</v>
      </c>
      <c r="J362" s="3" t="str">
        <f t="shared" ca="1" si="44"/>
        <v>Atendida</v>
      </c>
      <c r="K362" s="4">
        <f t="shared" ca="1" si="45"/>
        <v>45512</v>
      </c>
      <c r="L362" s="1">
        <f t="shared" ca="1" si="46"/>
        <v>20</v>
      </c>
      <c r="M362" s="3" t="str">
        <f t="shared" ca="1" si="47"/>
        <v>Telecomunicaciones</v>
      </c>
    </row>
    <row r="363" spans="1:13" x14ac:dyDescent="0.3">
      <c r="A363" s="3">
        <f t="shared" si="41"/>
        <v>362</v>
      </c>
      <c r="B363" s="4">
        <f t="shared" ca="1" si="39"/>
        <v>44950</v>
      </c>
      <c r="C363" s="4" t="str">
        <f t="shared" ca="1" si="42"/>
        <v>2023-01</v>
      </c>
      <c r="D363" s="5">
        <f t="shared" ca="1" si="40"/>
        <v>0.52916666666666667</v>
      </c>
      <c r="E363" s="3" t="str" cm="1">
        <f t="array" aca="1" ref="E363" ca="1">INDEX(lista!$A$1:$A$12, RANDBETWEEN(1, 12))</f>
        <v>San Carlos</v>
      </c>
      <c r="F363" s="3" t="s">
        <v>24</v>
      </c>
      <c r="G363" s="3" t="str" cm="1">
        <f t="array" aca="1" ref="G363" ca="1">INDEX(lista!$B$1:$B$6, RANDBETWEEN(1, 6))</f>
        <v>Radio</v>
      </c>
      <c r="H363" s="3" t="str" cm="1">
        <f t="array" aca="1" ref="H363" ca="1">INDEX(lista!$C$1:$C$4, RANDBETWEEN(1, 4))</f>
        <v>Daño en infraestructura</v>
      </c>
      <c r="I363" s="3" t="str">
        <f t="shared" ca="1" si="43"/>
        <v>Media</v>
      </c>
      <c r="J363" s="3" t="str">
        <f t="shared" ca="1" si="44"/>
        <v>Atendida</v>
      </c>
      <c r="K363" s="4">
        <f t="shared" ca="1" si="45"/>
        <v>44951</v>
      </c>
      <c r="L363" s="1">
        <f t="shared" ca="1" si="46"/>
        <v>7</v>
      </c>
      <c r="M363" s="3" t="str">
        <f t="shared" ca="1" si="47"/>
        <v>Telecomunicaciones</v>
      </c>
    </row>
    <row r="364" spans="1:13" x14ac:dyDescent="0.3">
      <c r="A364" s="3">
        <f t="shared" si="41"/>
        <v>363</v>
      </c>
      <c r="B364" s="4">
        <f t="shared" ca="1" si="39"/>
        <v>45631</v>
      </c>
      <c r="C364" s="4" t="str">
        <f t="shared" ca="1" si="42"/>
        <v>2024-12</v>
      </c>
      <c r="D364" s="5">
        <f t="shared" ca="1" si="40"/>
        <v>0.66736111111111107</v>
      </c>
      <c r="E364" s="3" t="str" cm="1">
        <f t="array" aca="1" ref="E364" ca="1">INDEX(lista!$A$1:$A$12, RANDBETWEEN(1, 12))</f>
        <v>La Cultura</v>
      </c>
      <c r="F364" s="3" t="s">
        <v>24</v>
      </c>
      <c r="G364" s="3" t="str" cm="1">
        <f t="array" aca="1" ref="G364" ca="1">INDEX(lista!$B$1:$B$6, RANDBETWEEN(1, 6))</f>
        <v>Radio</v>
      </c>
      <c r="H364" s="3" t="str" cm="1">
        <f t="array" aca="1" ref="H364" ca="1">INDEX(lista!$C$1:$C$4, RANDBETWEEN(1, 4))</f>
        <v>Mantenimiento preventivo</v>
      </c>
      <c r="I364" s="3" t="str">
        <f t="shared" ca="1" si="43"/>
        <v>Media</v>
      </c>
      <c r="J364" s="3" t="str">
        <f t="shared" ca="1" si="44"/>
        <v>Atendida</v>
      </c>
      <c r="K364" s="4">
        <f t="shared" ca="1" si="45"/>
        <v>45633</v>
      </c>
      <c r="L364" s="1">
        <f t="shared" ca="1" si="46"/>
        <v>9</v>
      </c>
      <c r="M364" s="3" t="str">
        <f t="shared" ca="1" si="47"/>
        <v>Telecomunicaciones</v>
      </c>
    </row>
    <row r="365" spans="1:13" x14ac:dyDescent="0.3">
      <c r="A365" s="3">
        <f t="shared" si="41"/>
        <v>364</v>
      </c>
      <c r="B365" s="4">
        <f t="shared" ca="1" si="39"/>
        <v>44931</v>
      </c>
      <c r="C365" s="4" t="str">
        <f t="shared" ca="1" si="42"/>
        <v>2023-01</v>
      </c>
      <c r="D365" s="5">
        <f t="shared" ca="1" si="40"/>
        <v>0.90486111111111112</v>
      </c>
      <c r="E365" s="3" t="str" cm="1">
        <f t="array" aca="1" ref="E365" ca="1">INDEX(lista!$A$1:$A$12, RANDBETWEEN(1, 12))</f>
        <v>Atocongo</v>
      </c>
      <c r="F365" s="3" t="s">
        <v>24</v>
      </c>
      <c r="G365" s="3" t="str" cm="1">
        <f t="array" aca="1" ref="G365" ca="1">INDEX(lista!$B$1:$B$6, RANDBETWEEN(1, 6))</f>
        <v>Escalera eléctrica</v>
      </c>
      <c r="H365" s="3" t="str" cm="1">
        <f t="array" aca="1" ref="H365" ca="1">INDEX(lista!$C$1:$C$4, RANDBETWEEN(1, 4))</f>
        <v>Falla mecánica</v>
      </c>
      <c r="I365" s="3" t="str">
        <f t="shared" ca="1" si="43"/>
        <v>Media</v>
      </c>
      <c r="J365" s="3" t="str">
        <f t="shared" ca="1" si="44"/>
        <v>Atendida</v>
      </c>
      <c r="K365" s="4">
        <f t="shared" ca="1" si="45"/>
        <v>44931</v>
      </c>
      <c r="L365" s="1">
        <f t="shared" ca="1" si="46"/>
        <v>2</v>
      </c>
      <c r="M365" s="3" t="str">
        <f t="shared" ca="1" si="47"/>
        <v>Mantenimiento</v>
      </c>
    </row>
    <row r="366" spans="1:13" x14ac:dyDescent="0.3">
      <c r="A366" s="3">
        <f t="shared" si="41"/>
        <v>365</v>
      </c>
      <c r="B366" s="4">
        <f t="shared" ca="1" si="39"/>
        <v>45602</v>
      </c>
      <c r="C366" s="4" t="str">
        <f t="shared" ca="1" si="42"/>
        <v>2024-11</v>
      </c>
      <c r="D366" s="5">
        <f t="shared" ca="1" si="40"/>
        <v>0.74375000000000002</v>
      </c>
      <c r="E366" s="3" t="str" cm="1">
        <f t="array" aca="1" ref="E366" ca="1">INDEX(lista!$A$1:$A$12, RANDBETWEEN(1, 12))</f>
        <v>San Borja Sur</v>
      </c>
      <c r="F366" s="3" t="s">
        <v>24</v>
      </c>
      <c r="G366" s="3" t="str" cm="1">
        <f t="array" aca="1" ref="G366" ca="1">INDEX(lista!$B$1:$B$6, RANDBETWEEN(1, 6))</f>
        <v>Radio</v>
      </c>
      <c r="H366" s="3" t="str" cm="1">
        <f t="array" aca="1" ref="H366" ca="1">INDEX(lista!$C$1:$C$4, RANDBETWEEN(1, 4))</f>
        <v>Daño en infraestructura</v>
      </c>
      <c r="I366" s="3" t="str">
        <f t="shared" ca="1" si="43"/>
        <v>Media</v>
      </c>
      <c r="J366" s="3" t="str">
        <f t="shared" ca="1" si="44"/>
        <v>Pendiente</v>
      </c>
      <c r="K366" s="4" t="str">
        <f t="shared" ca="1" si="45"/>
        <v/>
      </c>
      <c r="L366" s="1" t="str">
        <f t="shared" ca="1" si="46"/>
        <v/>
      </c>
      <c r="M366" s="3" t="str">
        <f t="shared" ca="1" si="47"/>
        <v>Telecomunicaciones</v>
      </c>
    </row>
    <row r="367" spans="1:13" x14ac:dyDescent="0.3">
      <c r="A367" s="3">
        <f t="shared" si="41"/>
        <v>366</v>
      </c>
      <c r="B367" s="4">
        <f t="shared" ca="1" si="39"/>
        <v>45269</v>
      </c>
      <c r="C367" s="4" t="str">
        <f t="shared" ca="1" si="42"/>
        <v>2023-12</v>
      </c>
      <c r="D367" s="5">
        <f t="shared" ca="1" si="40"/>
        <v>9.4444444444444442E-2</v>
      </c>
      <c r="E367" s="3" t="str" cm="1">
        <f t="array" aca="1" ref="E367" ca="1">INDEX(lista!$A$1:$A$12, RANDBETWEEN(1, 12))</f>
        <v>Santa Rosa</v>
      </c>
      <c r="F367" s="3" t="s">
        <v>24</v>
      </c>
      <c r="G367" s="3" t="str" cm="1">
        <f t="array" aca="1" ref="G367" ca="1">INDEX(lista!$B$1:$B$6, RANDBETWEEN(1, 6))</f>
        <v>Torniquete</v>
      </c>
      <c r="H367" s="3" t="str" cm="1">
        <f t="array" aca="1" ref="H367" ca="1">INDEX(lista!$C$1:$C$4, RANDBETWEEN(1, 4))</f>
        <v>Falla mecánica</v>
      </c>
      <c r="I367" s="3" t="str">
        <f t="shared" ca="1" si="43"/>
        <v>Alta</v>
      </c>
      <c r="J367" s="3" t="str">
        <f t="shared" ca="1" si="44"/>
        <v>Pendiente</v>
      </c>
      <c r="K367" s="4" t="str">
        <f t="shared" ca="1" si="45"/>
        <v/>
      </c>
      <c r="L367" s="1" t="str">
        <f t="shared" ca="1" si="46"/>
        <v/>
      </c>
      <c r="M367" s="3" t="str">
        <f t="shared" ca="1" si="47"/>
        <v>Telecomunicaciones</v>
      </c>
    </row>
    <row r="368" spans="1:13" x14ac:dyDescent="0.3">
      <c r="A368" s="3">
        <f t="shared" si="41"/>
        <v>367</v>
      </c>
      <c r="B368" s="4">
        <f t="shared" ca="1" si="39"/>
        <v>45112</v>
      </c>
      <c r="C368" s="4" t="str">
        <f t="shared" ca="1" si="42"/>
        <v>2023-07</v>
      </c>
      <c r="D368" s="5">
        <f t="shared" ca="1" si="40"/>
        <v>0.87361111111111112</v>
      </c>
      <c r="E368" s="3" t="str" cm="1">
        <f t="array" aca="1" ref="E368" ca="1">INDEX(lista!$A$1:$A$12, RANDBETWEEN(1, 12))</f>
        <v>La Cultura</v>
      </c>
      <c r="F368" s="3" t="s">
        <v>24</v>
      </c>
      <c r="G368" s="3" t="str" cm="1">
        <f t="array" aca="1" ref="G368" ca="1">INDEX(lista!$B$1:$B$6, RANDBETWEEN(1, 6))</f>
        <v>Escalera eléctrica</v>
      </c>
      <c r="H368" s="3" t="str" cm="1">
        <f t="array" aca="1" ref="H368" ca="1">INDEX(lista!$C$1:$C$4, RANDBETWEEN(1, 4))</f>
        <v>Mantenimiento preventivo</v>
      </c>
      <c r="I368" s="3" t="str">
        <f t="shared" ca="1" si="43"/>
        <v>Alta</v>
      </c>
      <c r="J368" s="3" t="str">
        <f t="shared" ca="1" si="44"/>
        <v>En curso</v>
      </c>
      <c r="K368" s="4" t="str">
        <f t="shared" ca="1" si="45"/>
        <v/>
      </c>
      <c r="L368" s="1" t="str">
        <f t="shared" ca="1" si="46"/>
        <v/>
      </c>
      <c r="M368" s="3" t="str">
        <f t="shared" ca="1" si="47"/>
        <v>Mantenimiento</v>
      </c>
    </row>
    <row r="369" spans="1:13" x14ac:dyDescent="0.3">
      <c r="A369" s="3">
        <f t="shared" si="41"/>
        <v>368</v>
      </c>
      <c r="B369" s="4">
        <f t="shared" ca="1" si="39"/>
        <v>45146</v>
      </c>
      <c r="C369" s="4" t="str">
        <f t="shared" ca="1" si="42"/>
        <v>2023-08</v>
      </c>
      <c r="D369" s="5">
        <f t="shared" ca="1" si="40"/>
        <v>0.26527777777777778</v>
      </c>
      <c r="E369" s="3" t="str" cm="1">
        <f t="array" aca="1" ref="E369" ca="1">INDEX(lista!$A$1:$A$12, RANDBETWEEN(1, 12))</f>
        <v>Atocongo</v>
      </c>
      <c r="F369" s="3" t="s">
        <v>24</v>
      </c>
      <c r="G369" s="3" t="str" cm="1">
        <f t="array" aca="1" ref="G369" ca="1">INDEX(lista!$B$1:$B$6, RANDBETWEEN(1, 6))</f>
        <v>Escalera eléctrica</v>
      </c>
      <c r="H369" s="3" t="str" cm="1">
        <f t="array" aca="1" ref="H369" ca="1">INDEX(lista!$C$1:$C$4, RANDBETWEEN(1, 4))</f>
        <v>Falla mecánica</v>
      </c>
      <c r="I369" s="3" t="str">
        <f t="shared" ca="1" si="43"/>
        <v>Media</v>
      </c>
      <c r="J369" s="3" t="str">
        <f t="shared" ca="1" si="44"/>
        <v>En curso</v>
      </c>
      <c r="K369" s="4" t="str">
        <f t="shared" ca="1" si="45"/>
        <v/>
      </c>
      <c r="L369" s="1" t="str">
        <f t="shared" ca="1" si="46"/>
        <v/>
      </c>
      <c r="M369" s="3" t="str">
        <f t="shared" ca="1" si="47"/>
        <v>Mantenimiento</v>
      </c>
    </row>
    <row r="370" spans="1:13" x14ac:dyDescent="0.3">
      <c r="A370" s="3">
        <f t="shared" si="41"/>
        <v>369</v>
      </c>
      <c r="B370" s="4">
        <f t="shared" ca="1" si="39"/>
        <v>45399</v>
      </c>
      <c r="C370" s="4" t="str">
        <f t="shared" ca="1" si="42"/>
        <v>2024-04</v>
      </c>
      <c r="D370" s="5">
        <f t="shared" ca="1" si="40"/>
        <v>0.85277777777777786</v>
      </c>
      <c r="E370" s="3" t="str" cm="1">
        <f t="array" aca="1" ref="E370" ca="1">INDEX(lista!$A$1:$A$12, RANDBETWEEN(1, 12))</f>
        <v>Bayóvar</v>
      </c>
      <c r="F370" s="3" t="s">
        <v>24</v>
      </c>
      <c r="G370" s="3" t="str" cm="1">
        <f t="array" aca="1" ref="G370" ca="1">INDEX(lista!$B$1:$B$6, RANDBETWEEN(1, 6))</f>
        <v>Radio</v>
      </c>
      <c r="H370" s="3" t="str" cm="1">
        <f t="array" aca="1" ref="H370" ca="1">INDEX(lista!$C$1:$C$4, RANDBETWEEN(1, 4))</f>
        <v>Daño en infraestructura</v>
      </c>
      <c r="I370" s="3" t="str">
        <f t="shared" ca="1" si="43"/>
        <v>Alta</v>
      </c>
      <c r="J370" s="3" t="str">
        <f t="shared" ca="1" si="44"/>
        <v>Atendida</v>
      </c>
      <c r="K370" s="4">
        <f t="shared" ca="1" si="45"/>
        <v>45401</v>
      </c>
      <c r="L370" s="1">
        <f t="shared" ca="1" si="46"/>
        <v>11</v>
      </c>
      <c r="M370" s="3" t="str">
        <f t="shared" ca="1" si="47"/>
        <v>Telecomunicaciones</v>
      </c>
    </row>
    <row r="371" spans="1:13" x14ac:dyDescent="0.3">
      <c r="A371" s="3">
        <f t="shared" si="41"/>
        <v>370</v>
      </c>
      <c r="B371" s="4">
        <f t="shared" ca="1" si="39"/>
        <v>45447</v>
      </c>
      <c r="C371" s="4" t="str">
        <f t="shared" ca="1" si="42"/>
        <v>2024-06</v>
      </c>
      <c r="D371" s="5">
        <f t="shared" ca="1" si="40"/>
        <v>0.10763888888888888</v>
      </c>
      <c r="E371" s="3" t="str" cm="1">
        <f t="array" aca="1" ref="E371" ca="1">INDEX(lista!$A$1:$A$12, RANDBETWEEN(1, 12))</f>
        <v>Villa El Salvador</v>
      </c>
      <c r="F371" s="3" t="s">
        <v>24</v>
      </c>
      <c r="G371" s="3" t="str" cm="1">
        <f t="array" aca="1" ref="G371" ca="1">INDEX(lista!$B$1:$B$6, RANDBETWEEN(1, 6))</f>
        <v>Radio</v>
      </c>
      <c r="H371" s="3" t="str" cm="1">
        <f t="array" aca="1" ref="H371" ca="1">INDEX(lista!$C$1:$C$4, RANDBETWEEN(1, 4))</f>
        <v>Falla mecánica</v>
      </c>
      <c r="I371" s="3" t="str">
        <f t="shared" ca="1" si="43"/>
        <v>Media</v>
      </c>
      <c r="J371" s="3" t="str">
        <f t="shared" ca="1" si="44"/>
        <v>Pendiente</v>
      </c>
      <c r="K371" s="4" t="str">
        <f t="shared" ca="1" si="45"/>
        <v/>
      </c>
      <c r="L371" s="1" t="str">
        <f t="shared" ca="1" si="46"/>
        <v/>
      </c>
      <c r="M371" s="3" t="str">
        <f t="shared" ca="1" si="47"/>
        <v>Telecomunicaciones</v>
      </c>
    </row>
    <row r="372" spans="1:13" x14ac:dyDescent="0.3">
      <c r="A372" s="3">
        <f t="shared" si="41"/>
        <v>371</v>
      </c>
      <c r="B372" s="4">
        <f t="shared" ca="1" si="39"/>
        <v>45355</v>
      </c>
      <c r="C372" s="4" t="str">
        <f t="shared" ca="1" si="42"/>
        <v>2024-03</v>
      </c>
      <c r="D372" s="5">
        <f t="shared" ca="1" si="40"/>
        <v>0.43611111111111112</v>
      </c>
      <c r="E372" s="3" t="str" cm="1">
        <f t="array" aca="1" ref="E372" ca="1">INDEX(lista!$A$1:$A$12, RANDBETWEEN(1, 12))</f>
        <v>Angamos</v>
      </c>
      <c r="F372" s="3" t="s">
        <v>24</v>
      </c>
      <c r="G372" s="3" t="str" cm="1">
        <f t="array" aca="1" ref="G372" ca="1">INDEX(lista!$B$1:$B$6, RANDBETWEEN(1, 6))</f>
        <v>MET</v>
      </c>
      <c r="H372" s="3" t="str" cm="1">
        <f t="array" aca="1" ref="H372" ca="1">INDEX(lista!$C$1:$C$4, RANDBETWEEN(1, 4))</f>
        <v>Mantenimiento preventivo</v>
      </c>
      <c r="I372" s="3" t="str">
        <f t="shared" ca="1" si="43"/>
        <v>Baja</v>
      </c>
      <c r="J372" s="3" t="str">
        <f t="shared" ca="1" si="44"/>
        <v>Atendida</v>
      </c>
      <c r="K372" s="4">
        <f t="shared" ca="1" si="45"/>
        <v>45355</v>
      </c>
      <c r="L372" s="1">
        <f t="shared" ca="1" si="46"/>
        <v>13</v>
      </c>
      <c r="M372" s="3" t="str">
        <f t="shared" ca="1" si="47"/>
        <v>Telecomunicaciones</v>
      </c>
    </row>
    <row r="373" spans="1:13" x14ac:dyDescent="0.3">
      <c r="A373" s="3">
        <f t="shared" si="41"/>
        <v>372</v>
      </c>
      <c r="B373" s="4">
        <f t="shared" ca="1" si="39"/>
        <v>45541</v>
      </c>
      <c r="C373" s="4" t="str">
        <f t="shared" ca="1" si="42"/>
        <v>2024-09</v>
      </c>
      <c r="D373" s="5">
        <f t="shared" ca="1" si="40"/>
        <v>0.99236111111111114</v>
      </c>
      <c r="E373" s="3" t="str" cm="1">
        <f t="array" aca="1" ref="E373" ca="1">INDEX(lista!$A$1:$A$12, RANDBETWEEN(1, 12))</f>
        <v>Bayóvar</v>
      </c>
      <c r="F373" s="3" t="s">
        <v>24</v>
      </c>
      <c r="G373" s="3" t="str" cm="1">
        <f t="array" aca="1" ref="G373" ca="1">INDEX(lista!$B$1:$B$6, RANDBETWEEN(1, 6))</f>
        <v>Escalera eléctrica</v>
      </c>
      <c r="H373" s="3" t="str" cm="1">
        <f t="array" aca="1" ref="H373" ca="1">INDEX(lista!$C$1:$C$4, RANDBETWEEN(1, 4))</f>
        <v>Falla eléctrica</v>
      </c>
      <c r="I373" s="3" t="str">
        <f t="shared" ca="1" si="43"/>
        <v>Media</v>
      </c>
      <c r="J373" s="3" t="str">
        <f t="shared" ca="1" si="44"/>
        <v>Atendida</v>
      </c>
      <c r="K373" s="4">
        <f t="shared" ca="1" si="45"/>
        <v>45543</v>
      </c>
      <c r="L373" s="1">
        <f t="shared" ca="1" si="46"/>
        <v>18</v>
      </c>
      <c r="M373" s="3" t="str">
        <f t="shared" ca="1" si="47"/>
        <v>Mantenimiento</v>
      </c>
    </row>
    <row r="374" spans="1:13" x14ac:dyDescent="0.3">
      <c r="A374" s="3">
        <f t="shared" si="41"/>
        <v>373</v>
      </c>
      <c r="B374" s="4">
        <f t="shared" ca="1" si="39"/>
        <v>45528</v>
      </c>
      <c r="C374" s="4" t="str">
        <f t="shared" ca="1" si="42"/>
        <v>2024-08</v>
      </c>
      <c r="D374" s="5">
        <f t="shared" ca="1" si="40"/>
        <v>0.36458333333333331</v>
      </c>
      <c r="E374" s="3" t="str" cm="1">
        <f t="array" aca="1" ref="E374" ca="1">INDEX(lista!$A$1:$A$12, RANDBETWEEN(1, 12))</f>
        <v>Pumacahua</v>
      </c>
      <c r="F374" s="3" t="s">
        <v>24</v>
      </c>
      <c r="G374" s="3" t="str" cm="1">
        <f t="array" aca="1" ref="G374" ca="1">INDEX(lista!$B$1:$B$6, RANDBETWEEN(1, 6))</f>
        <v>Escalera eléctrica</v>
      </c>
      <c r="H374" s="3" t="str" cm="1">
        <f t="array" aca="1" ref="H374" ca="1">INDEX(lista!$C$1:$C$4, RANDBETWEEN(1, 4))</f>
        <v>Falla mecánica</v>
      </c>
      <c r="I374" s="3" t="str">
        <f t="shared" ca="1" si="43"/>
        <v>Media</v>
      </c>
      <c r="J374" s="3" t="str">
        <f t="shared" ca="1" si="44"/>
        <v>En curso</v>
      </c>
      <c r="K374" s="4" t="str">
        <f t="shared" ca="1" si="45"/>
        <v/>
      </c>
      <c r="L374" s="1" t="str">
        <f t="shared" ca="1" si="46"/>
        <v/>
      </c>
      <c r="M374" s="3" t="str">
        <f t="shared" ca="1" si="47"/>
        <v>Mantenimiento</v>
      </c>
    </row>
    <row r="375" spans="1:13" x14ac:dyDescent="0.3">
      <c r="A375" s="3">
        <f t="shared" si="41"/>
        <v>374</v>
      </c>
      <c r="B375" s="4">
        <f t="shared" ca="1" si="39"/>
        <v>45224</v>
      </c>
      <c r="C375" s="4" t="str">
        <f t="shared" ca="1" si="42"/>
        <v>2023-10</v>
      </c>
      <c r="D375" s="5">
        <f t="shared" ca="1" si="40"/>
        <v>0.12777777777777777</v>
      </c>
      <c r="E375" s="3" t="str" cm="1">
        <f t="array" aca="1" ref="E375" ca="1">INDEX(lista!$A$1:$A$12, RANDBETWEEN(1, 12))</f>
        <v>Bayóvar</v>
      </c>
      <c r="F375" s="3" t="s">
        <v>24</v>
      </c>
      <c r="G375" s="3" t="str" cm="1">
        <f t="array" aca="1" ref="G375" ca="1">INDEX(lista!$B$1:$B$6, RANDBETWEEN(1, 6))</f>
        <v>Ascensor</v>
      </c>
      <c r="H375" s="3" t="str" cm="1">
        <f t="array" aca="1" ref="H375" ca="1">INDEX(lista!$C$1:$C$4, RANDBETWEEN(1, 4))</f>
        <v>Daño en infraestructura</v>
      </c>
      <c r="I375" s="3" t="str">
        <f t="shared" ca="1" si="43"/>
        <v>Alta</v>
      </c>
      <c r="J375" s="3" t="str">
        <f t="shared" ca="1" si="44"/>
        <v>Atendida</v>
      </c>
      <c r="K375" s="4">
        <f t="shared" ca="1" si="45"/>
        <v>45226</v>
      </c>
      <c r="L375" s="1">
        <f t="shared" ca="1" si="46"/>
        <v>2</v>
      </c>
      <c r="M375" s="3" t="str">
        <f t="shared" ca="1" si="47"/>
        <v>Mantenimiento</v>
      </c>
    </row>
    <row r="376" spans="1:13" x14ac:dyDescent="0.3">
      <c r="A376" s="3">
        <f t="shared" si="41"/>
        <v>375</v>
      </c>
      <c r="B376" s="4">
        <f t="shared" ca="1" si="39"/>
        <v>45160</v>
      </c>
      <c r="C376" s="4" t="str">
        <f t="shared" ca="1" si="42"/>
        <v>2023-08</v>
      </c>
      <c r="D376" s="5">
        <f t="shared" ca="1" si="40"/>
        <v>0.53749999999999998</v>
      </c>
      <c r="E376" s="3" t="str" cm="1">
        <f t="array" aca="1" ref="E376" ca="1">INDEX(lista!$A$1:$A$12, RANDBETWEEN(1, 12))</f>
        <v>San Borja Sur</v>
      </c>
      <c r="F376" s="3" t="s">
        <v>24</v>
      </c>
      <c r="G376" s="3" t="str" cm="1">
        <f t="array" aca="1" ref="G376" ca="1">INDEX(lista!$B$1:$B$6, RANDBETWEEN(1, 6))</f>
        <v>Torniquete</v>
      </c>
      <c r="H376" s="3" t="str" cm="1">
        <f t="array" aca="1" ref="H376" ca="1">INDEX(lista!$C$1:$C$4, RANDBETWEEN(1, 4))</f>
        <v>Falla eléctrica</v>
      </c>
      <c r="I376" s="3" t="str">
        <f t="shared" ca="1" si="43"/>
        <v>Alta</v>
      </c>
      <c r="J376" s="3" t="str">
        <f t="shared" ca="1" si="44"/>
        <v>Atendida</v>
      </c>
      <c r="K376" s="4">
        <f t="shared" ca="1" si="45"/>
        <v>45161</v>
      </c>
      <c r="L376" s="1">
        <f t="shared" ca="1" si="46"/>
        <v>18</v>
      </c>
      <c r="M376" s="3" t="str">
        <f t="shared" ca="1" si="47"/>
        <v>Telecomunicaciones</v>
      </c>
    </row>
    <row r="377" spans="1:13" x14ac:dyDescent="0.3">
      <c r="A377" s="3">
        <f t="shared" si="41"/>
        <v>376</v>
      </c>
      <c r="B377" s="4">
        <f t="shared" ca="1" si="39"/>
        <v>45409</v>
      </c>
      <c r="C377" s="4" t="str">
        <f t="shared" ca="1" si="42"/>
        <v>2024-04</v>
      </c>
      <c r="D377" s="5">
        <f t="shared" ca="1" si="40"/>
        <v>0.44166666666666671</v>
      </c>
      <c r="E377" s="3" t="str" cm="1">
        <f t="array" aca="1" ref="E377" ca="1">INDEX(lista!$A$1:$A$12, RANDBETWEEN(1, 12))</f>
        <v>Pumacahua</v>
      </c>
      <c r="F377" s="3" t="s">
        <v>24</v>
      </c>
      <c r="G377" s="3" t="str" cm="1">
        <f t="array" aca="1" ref="G377" ca="1">INDEX(lista!$B$1:$B$6, RANDBETWEEN(1, 6))</f>
        <v>Torniquete</v>
      </c>
      <c r="H377" s="3" t="str" cm="1">
        <f t="array" aca="1" ref="H377" ca="1">INDEX(lista!$C$1:$C$4, RANDBETWEEN(1, 4))</f>
        <v>Daño en infraestructura</v>
      </c>
      <c r="I377" s="3" t="str">
        <f t="shared" ca="1" si="43"/>
        <v>Media</v>
      </c>
      <c r="J377" s="3" t="str">
        <f t="shared" ca="1" si="44"/>
        <v>Atendida</v>
      </c>
      <c r="K377" s="4">
        <f t="shared" ca="1" si="45"/>
        <v>45410</v>
      </c>
      <c r="L377" s="1">
        <f t="shared" ca="1" si="46"/>
        <v>7</v>
      </c>
      <c r="M377" s="3" t="str">
        <f t="shared" ca="1" si="47"/>
        <v>Telecomunicaciones</v>
      </c>
    </row>
    <row r="378" spans="1:13" x14ac:dyDescent="0.3">
      <c r="A378" s="3">
        <f t="shared" si="41"/>
        <v>377</v>
      </c>
      <c r="B378" s="4">
        <f t="shared" ca="1" si="39"/>
        <v>45236</v>
      </c>
      <c r="C378" s="4" t="str">
        <f t="shared" ca="1" si="42"/>
        <v>2023-11</v>
      </c>
      <c r="D378" s="5">
        <f t="shared" ca="1" si="40"/>
        <v>0.51180555555555551</v>
      </c>
      <c r="E378" s="3" t="str" cm="1">
        <f t="array" aca="1" ref="E378" ca="1">INDEX(lista!$A$1:$A$12, RANDBETWEEN(1, 12))</f>
        <v>San Borja Sur</v>
      </c>
      <c r="F378" s="3" t="s">
        <v>24</v>
      </c>
      <c r="G378" s="3" t="str" cm="1">
        <f t="array" aca="1" ref="G378" ca="1">INDEX(lista!$B$1:$B$6, RANDBETWEEN(1, 6))</f>
        <v>Radio</v>
      </c>
      <c r="H378" s="3" t="str" cm="1">
        <f t="array" aca="1" ref="H378" ca="1">INDEX(lista!$C$1:$C$4, RANDBETWEEN(1, 4))</f>
        <v>Falla mecánica</v>
      </c>
      <c r="I378" s="3" t="str">
        <f t="shared" ca="1" si="43"/>
        <v>Alta</v>
      </c>
      <c r="J378" s="3" t="str">
        <f t="shared" ca="1" si="44"/>
        <v>Atendida</v>
      </c>
      <c r="K378" s="4">
        <f t="shared" ca="1" si="45"/>
        <v>45236</v>
      </c>
      <c r="L378" s="1">
        <f t="shared" ca="1" si="46"/>
        <v>11</v>
      </c>
      <c r="M378" s="3" t="str">
        <f t="shared" ca="1" si="47"/>
        <v>Telecomunicaciones</v>
      </c>
    </row>
    <row r="379" spans="1:13" x14ac:dyDescent="0.3">
      <c r="A379" s="3">
        <f t="shared" si="41"/>
        <v>378</v>
      </c>
      <c r="B379" s="4">
        <f t="shared" ca="1" si="39"/>
        <v>45083</v>
      </c>
      <c r="C379" s="4" t="str">
        <f t="shared" ca="1" si="42"/>
        <v>2023-06</v>
      </c>
      <c r="D379" s="5">
        <f t="shared" ca="1" si="40"/>
        <v>0.94374999999999998</v>
      </c>
      <c r="E379" s="3" t="str" cm="1">
        <f t="array" aca="1" ref="E379" ca="1">INDEX(lista!$A$1:$A$12, RANDBETWEEN(1, 12))</f>
        <v>Pumacahua</v>
      </c>
      <c r="F379" s="3" t="s">
        <v>24</v>
      </c>
      <c r="G379" s="3" t="str" cm="1">
        <f t="array" aca="1" ref="G379" ca="1">INDEX(lista!$B$1:$B$6, RANDBETWEEN(1, 6))</f>
        <v>Ascensor</v>
      </c>
      <c r="H379" s="3" t="str" cm="1">
        <f t="array" aca="1" ref="H379" ca="1">INDEX(lista!$C$1:$C$4, RANDBETWEEN(1, 4))</f>
        <v>Mantenimiento preventivo</v>
      </c>
      <c r="I379" s="3" t="str">
        <f t="shared" ca="1" si="43"/>
        <v>Media</v>
      </c>
      <c r="J379" s="3" t="str">
        <f t="shared" ca="1" si="44"/>
        <v>Atendida</v>
      </c>
      <c r="K379" s="4">
        <f t="shared" ca="1" si="45"/>
        <v>45083</v>
      </c>
      <c r="L379" s="1">
        <f t="shared" ca="1" si="46"/>
        <v>2</v>
      </c>
      <c r="M379" s="3" t="str">
        <f t="shared" ca="1" si="47"/>
        <v>Mantenimiento</v>
      </c>
    </row>
    <row r="380" spans="1:13" x14ac:dyDescent="0.3">
      <c r="A380" s="3">
        <f t="shared" si="41"/>
        <v>379</v>
      </c>
      <c r="B380" s="4">
        <f t="shared" ca="1" si="39"/>
        <v>44969</v>
      </c>
      <c r="C380" s="4" t="str">
        <f t="shared" ca="1" si="42"/>
        <v>2023-02</v>
      </c>
      <c r="D380" s="5">
        <f t="shared" ca="1" si="40"/>
        <v>0.31111111111111112</v>
      </c>
      <c r="E380" s="3" t="str" cm="1">
        <f t="array" aca="1" ref="E380" ca="1">INDEX(lista!$A$1:$A$12, RANDBETWEEN(1, 12))</f>
        <v>Angamos</v>
      </c>
      <c r="F380" s="3" t="s">
        <v>24</v>
      </c>
      <c r="G380" s="3" t="str" cm="1">
        <f t="array" aca="1" ref="G380" ca="1">INDEX(lista!$B$1:$B$6, RANDBETWEEN(1, 6))</f>
        <v>TVM</v>
      </c>
      <c r="H380" s="3" t="str" cm="1">
        <f t="array" aca="1" ref="H380" ca="1">INDEX(lista!$C$1:$C$4, RANDBETWEEN(1, 4))</f>
        <v>Mantenimiento preventivo</v>
      </c>
      <c r="I380" s="3" t="str">
        <f t="shared" ca="1" si="43"/>
        <v>Baja</v>
      </c>
      <c r="J380" s="3" t="str">
        <f t="shared" ca="1" si="44"/>
        <v>Pendiente</v>
      </c>
      <c r="K380" s="4" t="str">
        <f t="shared" ca="1" si="45"/>
        <v/>
      </c>
      <c r="L380" s="1" t="str">
        <f t="shared" ca="1" si="46"/>
        <v/>
      </c>
      <c r="M380" s="3" t="str">
        <f t="shared" ca="1" si="47"/>
        <v>Telecomunicaciones</v>
      </c>
    </row>
    <row r="381" spans="1:13" x14ac:dyDescent="0.3">
      <c r="A381" s="3">
        <f t="shared" si="41"/>
        <v>380</v>
      </c>
      <c r="B381" s="4">
        <f t="shared" ca="1" si="39"/>
        <v>45240</v>
      </c>
      <c r="C381" s="4" t="str">
        <f t="shared" ca="1" si="42"/>
        <v>2023-11</v>
      </c>
      <c r="D381" s="5">
        <f t="shared" ca="1" si="40"/>
        <v>0.99930555555555556</v>
      </c>
      <c r="E381" s="3" t="str" cm="1">
        <f t="array" aca="1" ref="E381" ca="1">INDEX(lista!$A$1:$A$12, RANDBETWEEN(1, 12))</f>
        <v>Santa Rosa</v>
      </c>
      <c r="F381" s="3" t="s">
        <v>24</v>
      </c>
      <c r="G381" s="3" t="str" cm="1">
        <f t="array" aca="1" ref="G381" ca="1">INDEX(lista!$B$1:$B$6, RANDBETWEEN(1, 6))</f>
        <v>Radio</v>
      </c>
      <c r="H381" s="3" t="str" cm="1">
        <f t="array" aca="1" ref="H381" ca="1">INDEX(lista!$C$1:$C$4, RANDBETWEEN(1, 4))</f>
        <v>Daño en infraestructura</v>
      </c>
      <c r="I381" s="3" t="str">
        <f t="shared" ca="1" si="43"/>
        <v>Baja</v>
      </c>
      <c r="J381" s="3" t="str">
        <f t="shared" ca="1" si="44"/>
        <v>Atendida</v>
      </c>
      <c r="K381" s="4">
        <f t="shared" ca="1" si="45"/>
        <v>45241</v>
      </c>
      <c r="L381" s="1">
        <f t="shared" ca="1" si="46"/>
        <v>20</v>
      </c>
      <c r="M381" s="3" t="str">
        <f t="shared" ca="1" si="47"/>
        <v>Telecomunicaciones</v>
      </c>
    </row>
    <row r="382" spans="1:13" x14ac:dyDescent="0.3">
      <c r="A382" s="3">
        <f t="shared" si="41"/>
        <v>381</v>
      </c>
      <c r="B382" s="4">
        <f t="shared" ca="1" si="39"/>
        <v>44937</v>
      </c>
      <c r="C382" s="4" t="str">
        <f t="shared" ca="1" si="42"/>
        <v>2023-01</v>
      </c>
      <c r="D382" s="5">
        <f t="shared" ca="1" si="40"/>
        <v>0.79374999999999996</v>
      </c>
      <c r="E382" s="3" t="str" cm="1">
        <f t="array" aca="1" ref="E382" ca="1">INDEX(lista!$A$1:$A$12, RANDBETWEEN(1, 12))</f>
        <v>San Carlos</v>
      </c>
      <c r="F382" s="3" t="s">
        <v>24</v>
      </c>
      <c r="G382" s="3" t="str" cm="1">
        <f t="array" aca="1" ref="G382" ca="1">INDEX(lista!$B$1:$B$6, RANDBETWEEN(1, 6))</f>
        <v>Torniquete</v>
      </c>
      <c r="H382" s="3" t="str" cm="1">
        <f t="array" aca="1" ref="H382" ca="1">INDEX(lista!$C$1:$C$4, RANDBETWEEN(1, 4))</f>
        <v>Daño en infraestructura</v>
      </c>
      <c r="I382" s="3" t="str">
        <f t="shared" ca="1" si="43"/>
        <v>Alta</v>
      </c>
      <c r="J382" s="3" t="str">
        <f t="shared" ca="1" si="44"/>
        <v>En curso</v>
      </c>
      <c r="K382" s="4" t="str">
        <f t="shared" ca="1" si="45"/>
        <v/>
      </c>
      <c r="L382" s="1" t="str">
        <f t="shared" ca="1" si="46"/>
        <v/>
      </c>
      <c r="M382" s="3" t="str">
        <f t="shared" ca="1" si="47"/>
        <v>Telecomunicaciones</v>
      </c>
    </row>
    <row r="383" spans="1:13" x14ac:dyDescent="0.3">
      <c r="A383" s="3">
        <f t="shared" si="41"/>
        <v>382</v>
      </c>
      <c r="B383" s="4">
        <f t="shared" ca="1" si="39"/>
        <v>45318</v>
      </c>
      <c r="C383" s="4" t="str">
        <f t="shared" ca="1" si="42"/>
        <v>2024-01</v>
      </c>
      <c r="D383" s="5">
        <f t="shared" ca="1" si="40"/>
        <v>0.45694444444444449</v>
      </c>
      <c r="E383" s="3" t="str" cm="1">
        <f t="array" aca="1" ref="E383" ca="1">INDEX(lista!$A$1:$A$12, RANDBETWEEN(1, 12))</f>
        <v>San Carlos</v>
      </c>
      <c r="F383" s="3" t="s">
        <v>24</v>
      </c>
      <c r="G383" s="3" t="str" cm="1">
        <f t="array" aca="1" ref="G383" ca="1">INDEX(lista!$B$1:$B$6, RANDBETWEEN(1, 6))</f>
        <v>MET</v>
      </c>
      <c r="H383" s="3" t="str" cm="1">
        <f t="array" aca="1" ref="H383" ca="1">INDEX(lista!$C$1:$C$4, RANDBETWEEN(1, 4))</f>
        <v>Falla eléctrica</v>
      </c>
      <c r="I383" s="3" t="str">
        <f t="shared" ca="1" si="43"/>
        <v>Alta</v>
      </c>
      <c r="J383" s="3" t="str">
        <f t="shared" ca="1" si="44"/>
        <v>En curso</v>
      </c>
      <c r="K383" s="4" t="str">
        <f t="shared" ca="1" si="45"/>
        <v/>
      </c>
      <c r="L383" s="1" t="str">
        <f t="shared" ca="1" si="46"/>
        <v/>
      </c>
      <c r="M383" s="3" t="str">
        <f t="shared" ca="1" si="47"/>
        <v>Telecomunicaciones</v>
      </c>
    </row>
    <row r="384" spans="1:13" x14ac:dyDescent="0.3">
      <c r="A384" s="3">
        <f t="shared" si="41"/>
        <v>383</v>
      </c>
      <c r="B384" s="4">
        <f t="shared" ca="1" si="39"/>
        <v>45036</v>
      </c>
      <c r="C384" s="4" t="str">
        <f t="shared" ca="1" si="42"/>
        <v>2023-04</v>
      </c>
      <c r="D384" s="5">
        <f t="shared" ca="1" si="40"/>
        <v>0.6777777777777777</v>
      </c>
      <c r="E384" s="3" t="str" cm="1">
        <f t="array" aca="1" ref="E384" ca="1">INDEX(lista!$A$1:$A$12, RANDBETWEEN(1, 12))</f>
        <v>San Carlos</v>
      </c>
      <c r="F384" s="3" t="s">
        <v>24</v>
      </c>
      <c r="G384" s="3" t="str" cm="1">
        <f t="array" aca="1" ref="G384" ca="1">INDEX(lista!$B$1:$B$6, RANDBETWEEN(1, 6))</f>
        <v>TVM</v>
      </c>
      <c r="H384" s="3" t="str" cm="1">
        <f t="array" aca="1" ref="H384" ca="1">INDEX(lista!$C$1:$C$4, RANDBETWEEN(1, 4))</f>
        <v>Daño en infraestructura</v>
      </c>
      <c r="I384" s="3" t="str">
        <f t="shared" ca="1" si="43"/>
        <v>Media</v>
      </c>
      <c r="J384" s="3" t="str">
        <f t="shared" ca="1" si="44"/>
        <v>Pendiente</v>
      </c>
      <c r="K384" s="4" t="str">
        <f t="shared" ca="1" si="45"/>
        <v/>
      </c>
      <c r="L384" s="1" t="str">
        <f t="shared" ca="1" si="46"/>
        <v/>
      </c>
      <c r="M384" s="3" t="str">
        <f t="shared" ca="1" si="47"/>
        <v>Telecomunicaciones</v>
      </c>
    </row>
    <row r="385" spans="1:13" x14ac:dyDescent="0.3">
      <c r="A385" s="3">
        <f t="shared" si="41"/>
        <v>384</v>
      </c>
      <c r="B385" s="4">
        <f t="shared" ca="1" si="39"/>
        <v>45467</v>
      </c>
      <c r="C385" s="4" t="str">
        <f t="shared" ca="1" si="42"/>
        <v>2024-06</v>
      </c>
      <c r="D385" s="5">
        <f t="shared" ca="1" si="40"/>
        <v>0.99513888888888891</v>
      </c>
      <c r="E385" s="3" t="str" cm="1">
        <f t="array" aca="1" ref="E385" ca="1">INDEX(lista!$A$1:$A$12, RANDBETWEEN(1, 12))</f>
        <v>La Cultura</v>
      </c>
      <c r="F385" s="3" t="s">
        <v>24</v>
      </c>
      <c r="G385" s="3" t="str" cm="1">
        <f t="array" aca="1" ref="G385" ca="1">INDEX(lista!$B$1:$B$6, RANDBETWEEN(1, 6))</f>
        <v>Radio</v>
      </c>
      <c r="H385" s="3" t="str" cm="1">
        <f t="array" aca="1" ref="H385" ca="1">INDEX(lista!$C$1:$C$4, RANDBETWEEN(1, 4))</f>
        <v>Mantenimiento preventivo</v>
      </c>
      <c r="I385" s="3" t="str">
        <f t="shared" ca="1" si="43"/>
        <v>Alta</v>
      </c>
      <c r="J385" s="3" t="str">
        <f t="shared" ca="1" si="44"/>
        <v>Atendida</v>
      </c>
      <c r="K385" s="4">
        <f t="shared" ca="1" si="45"/>
        <v>45467</v>
      </c>
      <c r="L385" s="1">
        <f t="shared" ca="1" si="46"/>
        <v>9</v>
      </c>
      <c r="M385" s="3" t="str">
        <f t="shared" ca="1" si="47"/>
        <v>Telecomunicaciones</v>
      </c>
    </row>
    <row r="386" spans="1:13" x14ac:dyDescent="0.3">
      <c r="A386" s="3">
        <f t="shared" si="41"/>
        <v>385</v>
      </c>
      <c r="B386" s="4">
        <f t="shared" ref="B386:B449" ca="1" si="48">DATE(2023,1,1)+RANDBETWEEN(0,730)</f>
        <v>45038</v>
      </c>
      <c r="C386" s="4" t="str">
        <f t="shared" ca="1" si="42"/>
        <v>2023-04</v>
      </c>
      <c r="D386" s="5">
        <f t="shared" ref="D386:D449" ca="1" si="49">RANDBETWEEN(0,23)/24 + RANDBETWEEN(0,59)/1440</f>
        <v>4.8611111111111105E-2</v>
      </c>
      <c r="E386" s="3" t="str" cm="1">
        <f t="array" aca="1" ref="E386" ca="1">INDEX(lista!$A$1:$A$12, RANDBETWEEN(1, 12))</f>
        <v>Atocongo</v>
      </c>
      <c r="F386" s="3" t="s">
        <v>24</v>
      </c>
      <c r="G386" s="3" t="str" cm="1">
        <f t="array" aca="1" ref="G386" ca="1">INDEX(lista!$B$1:$B$6, RANDBETWEEN(1, 6))</f>
        <v>Radio</v>
      </c>
      <c r="H386" s="3" t="str" cm="1">
        <f t="array" aca="1" ref="H386" ca="1">INDEX(lista!$C$1:$C$4, RANDBETWEEN(1, 4))</f>
        <v>Falla eléctrica</v>
      </c>
      <c r="I386" s="3" t="str">
        <f t="shared" ca="1" si="43"/>
        <v>Media</v>
      </c>
      <c r="J386" s="3" t="str">
        <f t="shared" ca="1" si="44"/>
        <v>Atendida</v>
      </c>
      <c r="K386" s="4">
        <f t="shared" ca="1" si="45"/>
        <v>45040</v>
      </c>
      <c r="L386" s="1">
        <f t="shared" ca="1" si="46"/>
        <v>4</v>
      </c>
      <c r="M386" s="3" t="str">
        <f t="shared" ca="1" si="47"/>
        <v>Telecomunicaciones</v>
      </c>
    </row>
    <row r="387" spans="1:13" x14ac:dyDescent="0.3">
      <c r="A387" s="3">
        <f t="shared" ref="A387:A450" si="50">ROW()-1</f>
        <v>386</v>
      </c>
      <c r="B387" s="4">
        <f t="shared" ca="1" si="48"/>
        <v>45203</v>
      </c>
      <c r="C387" s="4" t="str">
        <f t="shared" ref="C387:C450" ca="1" si="51">TEXT(B387,"yyyy-mm")</f>
        <v>2023-10</v>
      </c>
      <c r="D387" s="5">
        <f t="shared" ca="1" si="49"/>
        <v>0.47499999999999998</v>
      </c>
      <c r="E387" s="3" t="str" cm="1">
        <f t="array" aca="1" ref="E387" ca="1">INDEX(lista!$A$1:$A$12, RANDBETWEEN(1, 12))</f>
        <v>Atocongo</v>
      </c>
      <c r="F387" s="3" t="s">
        <v>24</v>
      </c>
      <c r="G387" s="3" t="str" cm="1">
        <f t="array" aca="1" ref="G387" ca="1">INDEX(lista!$B$1:$B$6, RANDBETWEEN(1, 6))</f>
        <v>MET</v>
      </c>
      <c r="H387" s="3" t="str" cm="1">
        <f t="array" aca="1" ref="H387" ca="1">INDEX(lista!$C$1:$C$4, RANDBETWEEN(1, 4))</f>
        <v>Mantenimiento preventivo</v>
      </c>
      <c r="I387" s="3" t="str">
        <f t="shared" ref="I387:I450" ca="1" si="52">CHOOSE(RANDBETWEEN(1,10),"Baja","Baja","Baja","Media","Media","Media","Media","Alta","Alta","Alta")</f>
        <v>Alta</v>
      </c>
      <c r="J387" s="3" t="str">
        <f t="shared" ref="J387:J450" ca="1" si="53">CHOOSE(RANDBETWEEN(1,10),"Atendida","Atendida","Atendida","En curso","En curso","Pendiente","Pendiente","Atendida","Atendida","Atendida")</f>
        <v>Pendiente</v>
      </c>
      <c r="K387" s="4" t="str">
        <f t="shared" ref="K387:K450" ca="1" si="54">IF(J387="Atendida",B387+RANDBETWEEN(0,2),"")</f>
        <v/>
      </c>
      <c r="L387" s="1" t="str">
        <f t="shared" ref="L387:L450" ca="1" si="55">IF(J387="Atendida",RANDBETWEEN(1,24),"")</f>
        <v/>
      </c>
      <c r="M387" s="3" t="str">
        <f t="shared" ref="M387:M450" ca="1" si="56">IF(OR(G387="Escalera eléctrica",G387="Ascensor",G387="Puertas de andén"),"Mantenimiento",IF(G387="Sistema eléctrico","Infraestructura","Telecomunicaciones"))</f>
        <v>Telecomunicaciones</v>
      </c>
    </row>
    <row r="388" spans="1:13" x14ac:dyDescent="0.3">
      <c r="A388" s="3">
        <f t="shared" si="50"/>
        <v>387</v>
      </c>
      <c r="B388" s="4">
        <f t="shared" ca="1" si="48"/>
        <v>45213</v>
      </c>
      <c r="C388" s="4" t="str">
        <f t="shared" ca="1" si="51"/>
        <v>2023-10</v>
      </c>
      <c r="D388" s="5">
        <f t="shared" ca="1" si="49"/>
        <v>0.59444444444444444</v>
      </c>
      <c r="E388" s="3" t="str" cm="1">
        <f t="array" aca="1" ref="E388" ca="1">INDEX(lista!$A$1:$A$12, RANDBETWEEN(1, 12))</f>
        <v>Villa El Salvador</v>
      </c>
      <c r="F388" s="3" t="s">
        <v>24</v>
      </c>
      <c r="G388" s="3" t="str" cm="1">
        <f t="array" aca="1" ref="G388" ca="1">INDEX(lista!$B$1:$B$6, RANDBETWEEN(1, 6))</f>
        <v>Ascensor</v>
      </c>
      <c r="H388" s="3" t="str" cm="1">
        <f t="array" aca="1" ref="H388" ca="1">INDEX(lista!$C$1:$C$4, RANDBETWEEN(1, 4))</f>
        <v>Falla eléctrica</v>
      </c>
      <c r="I388" s="3" t="str">
        <f t="shared" ca="1" si="52"/>
        <v>Media</v>
      </c>
      <c r="J388" s="3" t="str">
        <f t="shared" ca="1" si="53"/>
        <v>Atendida</v>
      </c>
      <c r="K388" s="4">
        <f t="shared" ca="1" si="54"/>
        <v>45214</v>
      </c>
      <c r="L388" s="1">
        <f t="shared" ca="1" si="55"/>
        <v>23</v>
      </c>
      <c r="M388" s="3" t="str">
        <f t="shared" ca="1" si="56"/>
        <v>Mantenimiento</v>
      </c>
    </row>
    <row r="389" spans="1:13" x14ac:dyDescent="0.3">
      <c r="A389" s="3">
        <f t="shared" si="50"/>
        <v>388</v>
      </c>
      <c r="B389" s="4">
        <f t="shared" ca="1" si="48"/>
        <v>45112</v>
      </c>
      <c r="C389" s="4" t="str">
        <f t="shared" ca="1" si="51"/>
        <v>2023-07</v>
      </c>
      <c r="D389" s="5">
        <f t="shared" ca="1" si="49"/>
        <v>0.32847222222222222</v>
      </c>
      <c r="E389" s="3" t="str" cm="1">
        <f t="array" aca="1" ref="E389" ca="1">INDEX(lista!$A$1:$A$12, RANDBETWEEN(1, 12))</f>
        <v>Gamarra</v>
      </c>
      <c r="F389" s="3" t="s">
        <v>24</v>
      </c>
      <c r="G389" s="3" t="str" cm="1">
        <f t="array" aca="1" ref="G389" ca="1">INDEX(lista!$B$1:$B$6, RANDBETWEEN(1, 6))</f>
        <v>MET</v>
      </c>
      <c r="H389" s="3" t="str" cm="1">
        <f t="array" aca="1" ref="H389" ca="1">INDEX(lista!$C$1:$C$4, RANDBETWEEN(1, 4))</f>
        <v>Daño en infraestructura</v>
      </c>
      <c r="I389" s="3" t="str">
        <f t="shared" ca="1" si="52"/>
        <v>Media</v>
      </c>
      <c r="J389" s="3" t="str">
        <f t="shared" ca="1" si="53"/>
        <v>Pendiente</v>
      </c>
      <c r="K389" s="4" t="str">
        <f t="shared" ca="1" si="54"/>
        <v/>
      </c>
      <c r="L389" s="1" t="str">
        <f t="shared" ca="1" si="55"/>
        <v/>
      </c>
      <c r="M389" s="3" t="str">
        <f t="shared" ca="1" si="56"/>
        <v>Telecomunicaciones</v>
      </c>
    </row>
    <row r="390" spans="1:13" x14ac:dyDescent="0.3">
      <c r="A390" s="3">
        <f t="shared" si="50"/>
        <v>389</v>
      </c>
      <c r="B390" s="4">
        <f t="shared" ca="1" si="48"/>
        <v>45111</v>
      </c>
      <c r="C390" s="4" t="str">
        <f t="shared" ca="1" si="51"/>
        <v>2023-07</v>
      </c>
      <c r="D390" s="5">
        <f t="shared" ca="1" si="49"/>
        <v>0.65486111111111112</v>
      </c>
      <c r="E390" s="3" t="str" cm="1">
        <f t="array" aca="1" ref="E390" ca="1">INDEX(lista!$A$1:$A$12, RANDBETWEEN(1, 12))</f>
        <v>Villa El Salvador</v>
      </c>
      <c r="F390" s="3" t="s">
        <v>24</v>
      </c>
      <c r="G390" s="3" t="str" cm="1">
        <f t="array" aca="1" ref="G390" ca="1">INDEX(lista!$B$1:$B$6, RANDBETWEEN(1, 6))</f>
        <v>MET</v>
      </c>
      <c r="H390" s="3" t="str" cm="1">
        <f t="array" aca="1" ref="H390" ca="1">INDEX(lista!$C$1:$C$4, RANDBETWEEN(1, 4))</f>
        <v>Mantenimiento preventivo</v>
      </c>
      <c r="I390" s="3" t="str">
        <f t="shared" ca="1" si="52"/>
        <v>Media</v>
      </c>
      <c r="J390" s="3" t="str">
        <f t="shared" ca="1" si="53"/>
        <v>Atendida</v>
      </c>
      <c r="K390" s="4">
        <f t="shared" ca="1" si="54"/>
        <v>45113</v>
      </c>
      <c r="L390" s="1">
        <f t="shared" ca="1" si="55"/>
        <v>3</v>
      </c>
      <c r="M390" s="3" t="str">
        <f t="shared" ca="1" si="56"/>
        <v>Telecomunicaciones</v>
      </c>
    </row>
    <row r="391" spans="1:13" x14ac:dyDescent="0.3">
      <c r="A391" s="3">
        <f t="shared" si="50"/>
        <v>390</v>
      </c>
      <c r="B391" s="4">
        <f t="shared" ca="1" si="48"/>
        <v>45234</v>
      </c>
      <c r="C391" s="4" t="str">
        <f t="shared" ca="1" si="51"/>
        <v>2023-11</v>
      </c>
      <c r="D391" s="5">
        <f t="shared" ca="1" si="49"/>
        <v>0.95902777777777781</v>
      </c>
      <c r="E391" s="3" t="str" cm="1">
        <f t="array" aca="1" ref="E391" ca="1">INDEX(lista!$A$1:$A$12, RANDBETWEEN(1, 12))</f>
        <v>San Carlos</v>
      </c>
      <c r="F391" s="3" t="s">
        <v>24</v>
      </c>
      <c r="G391" s="3" t="str" cm="1">
        <f t="array" aca="1" ref="G391" ca="1">INDEX(lista!$B$1:$B$6, RANDBETWEEN(1, 6))</f>
        <v>TVM</v>
      </c>
      <c r="H391" s="3" t="str" cm="1">
        <f t="array" aca="1" ref="H391" ca="1">INDEX(lista!$C$1:$C$4, RANDBETWEEN(1, 4))</f>
        <v>Falla eléctrica</v>
      </c>
      <c r="I391" s="3" t="str">
        <f t="shared" ca="1" si="52"/>
        <v>Media</v>
      </c>
      <c r="J391" s="3" t="str">
        <f t="shared" ca="1" si="53"/>
        <v>Atendida</v>
      </c>
      <c r="K391" s="4">
        <f t="shared" ca="1" si="54"/>
        <v>45236</v>
      </c>
      <c r="L391" s="1">
        <f t="shared" ca="1" si="55"/>
        <v>19</v>
      </c>
      <c r="M391" s="3" t="str">
        <f t="shared" ca="1" si="56"/>
        <v>Telecomunicaciones</v>
      </c>
    </row>
    <row r="392" spans="1:13" x14ac:dyDescent="0.3">
      <c r="A392" s="3">
        <f t="shared" si="50"/>
        <v>391</v>
      </c>
      <c r="B392" s="4">
        <f t="shared" ca="1" si="48"/>
        <v>45598</v>
      </c>
      <c r="C392" s="4" t="str">
        <f t="shared" ca="1" si="51"/>
        <v>2024-11</v>
      </c>
      <c r="D392" s="5">
        <f t="shared" ca="1" si="49"/>
        <v>7.6388888888888895E-2</v>
      </c>
      <c r="E392" s="3" t="str" cm="1">
        <f t="array" aca="1" ref="E392" ca="1">INDEX(lista!$A$1:$A$12, RANDBETWEEN(1, 12))</f>
        <v>Cabitos</v>
      </c>
      <c r="F392" s="3" t="s">
        <v>24</v>
      </c>
      <c r="G392" s="3" t="str" cm="1">
        <f t="array" aca="1" ref="G392" ca="1">INDEX(lista!$B$1:$B$6, RANDBETWEEN(1, 6))</f>
        <v>TVM</v>
      </c>
      <c r="H392" s="3" t="str" cm="1">
        <f t="array" aca="1" ref="H392" ca="1">INDEX(lista!$C$1:$C$4, RANDBETWEEN(1, 4))</f>
        <v>Mantenimiento preventivo</v>
      </c>
      <c r="I392" s="3" t="str">
        <f t="shared" ca="1" si="52"/>
        <v>Baja</v>
      </c>
      <c r="J392" s="3" t="str">
        <f t="shared" ca="1" si="53"/>
        <v>En curso</v>
      </c>
      <c r="K392" s="4" t="str">
        <f t="shared" ca="1" si="54"/>
        <v/>
      </c>
      <c r="L392" s="1" t="str">
        <f t="shared" ca="1" si="55"/>
        <v/>
      </c>
      <c r="M392" s="3" t="str">
        <f t="shared" ca="1" si="56"/>
        <v>Telecomunicaciones</v>
      </c>
    </row>
    <row r="393" spans="1:13" x14ac:dyDescent="0.3">
      <c r="A393" s="3">
        <f t="shared" si="50"/>
        <v>392</v>
      </c>
      <c r="B393" s="4">
        <f t="shared" ca="1" si="48"/>
        <v>45369</v>
      </c>
      <c r="C393" s="4" t="str">
        <f t="shared" ca="1" si="51"/>
        <v>2024-03</v>
      </c>
      <c r="D393" s="5">
        <f t="shared" ca="1" si="49"/>
        <v>0.12708333333333333</v>
      </c>
      <c r="E393" s="3" t="str" cm="1">
        <f t="array" aca="1" ref="E393" ca="1">INDEX(lista!$A$1:$A$12, RANDBETWEEN(1, 12))</f>
        <v>Bayóvar</v>
      </c>
      <c r="F393" s="3" t="s">
        <v>24</v>
      </c>
      <c r="G393" s="3" t="str" cm="1">
        <f t="array" aca="1" ref="G393" ca="1">INDEX(lista!$B$1:$B$6, RANDBETWEEN(1, 6))</f>
        <v>TVM</v>
      </c>
      <c r="H393" s="3" t="str" cm="1">
        <f t="array" aca="1" ref="H393" ca="1">INDEX(lista!$C$1:$C$4, RANDBETWEEN(1, 4))</f>
        <v>Falla mecánica</v>
      </c>
      <c r="I393" s="3" t="str">
        <f t="shared" ca="1" si="52"/>
        <v>Alta</v>
      </c>
      <c r="J393" s="3" t="str">
        <f t="shared" ca="1" si="53"/>
        <v>En curso</v>
      </c>
      <c r="K393" s="4" t="str">
        <f t="shared" ca="1" si="54"/>
        <v/>
      </c>
      <c r="L393" s="1" t="str">
        <f t="shared" ca="1" si="55"/>
        <v/>
      </c>
      <c r="M393" s="3" t="str">
        <f t="shared" ca="1" si="56"/>
        <v>Telecomunicaciones</v>
      </c>
    </row>
    <row r="394" spans="1:13" x14ac:dyDescent="0.3">
      <c r="A394" s="3">
        <f t="shared" si="50"/>
        <v>393</v>
      </c>
      <c r="B394" s="4">
        <f t="shared" ca="1" si="48"/>
        <v>45408</v>
      </c>
      <c r="C394" s="4" t="str">
        <f t="shared" ca="1" si="51"/>
        <v>2024-04</v>
      </c>
      <c r="D394" s="5">
        <f t="shared" ca="1" si="49"/>
        <v>0.75208333333333333</v>
      </c>
      <c r="E394" s="3" t="str" cm="1">
        <f t="array" aca="1" ref="E394" ca="1">INDEX(lista!$A$1:$A$12, RANDBETWEEN(1, 12))</f>
        <v>Pumacahua</v>
      </c>
      <c r="F394" s="3" t="s">
        <v>24</v>
      </c>
      <c r="G394" s="3" t="str" cm="1">
        <f t="array" aca="1" ref="G394" ca="1">INDEX(lista!$B$1:$B$6, RANDBETWEEN(1, 6))</f>
        <v>Torniquete</v>
      </c>
      <c r="H394" s="3" t="str" cm="1">
        <f t="array" aca="1" ref="H394" ca="1">INDEX(lista!$C$1:$C$4, RANDBETWEEN(1, 4))</f>
        <v>Falla mecánica</v>
      </c>
      <c r="I394" s="3" t="str">
        <f t="shared" ca="1" si="52"/>
        <v>Media</v>
      </c>
      <c r="J394" s="3" t="str">
        <f t="shared" ca="1" si="53"/>
        <v>Atendida</v>
      </c>
      <c r="K394" s="4">
        <f t="shared" ca="1" si="54"/>
        <v>45408</v>
      </c>
      <c r="L394" s="1">
        <f t="shared" ca="1" si="55"/>
        <v>9</v>
      </c>
      <c r="M394" s="3" t="str">
        <f t="shared" ca="1" si="56"/>
        <v>Telecomunicaciones</v>
      </c>
    </row>
    <row r="395" spans="1:13" x14ac:dyDescent="0.3">
      <c r="A395" s="3">
        <f t="shared" si="50"/>
        <v>394</v>
      </c>
      <c r="B395" s="4">
        <f t="shared" ca="1" si="48"/>
        <v>45180</v>
      </c>
      <c r="C395" s="4" t="str">
        <f t="shared" ca="1" si="51"/>
        <v>2023-09</v>
      </c>
      <c r="D395" s="5">
        <f t="shared" ca="1" si="49"/>
        <v>0.6958333333333333</v>
      </c>
      <c r="E395" s="3" t="str" cm="1">
        <f t="array" aca="1" ref="E395" ca="1">INDEX(lista!$A$1:$A$12, RANDBETWEEN(1, 12))</f>
        <v>Atocongo</v>
      </c>
      <c r="F395" s="3" t="s">
        <v>24</v>
      </c>
      <c r="G395" s="3" t="str" cm="1">
        <f t="array" aca="1" ref="G395" ca="1">INDEX(lista!$B$1:$B$6, RANDBETWEEN(1, 6))</f>
        <v>Ascensor</v>
      </c>
      <c r="H395" s="3" t="str" cm="1">
        <f t="array" aca="1" ref="H395" ca="1">INDEX(lista!$C$1:$C$4, RANDBETWEEN(1, 4))</f>
        <v>Falla eléctrica</v>
      </c>
      <c r="I395" s="3" t="str">
        <f t="shared" ca="1" si="52"/>
        <v>Baja</v>
      </c>
      <c r="J395" s="3" t="str">
        <f t="shared" ca="1" si="53"/>
        <v>Pendiente</v>
      </c>
      <c r="K395" s="4" t="str">
        <f t="shared" ca="1" si="54"/>
        <v/>
      </c>
      <c r="L395" s="1" t="str">
        <f t="shared" ca="1" si="55"/>
        <v/>
      </c>
      <c r="M395" s="3" t="str">
        <f t="shared" ca="1" si="56"/>
        <v>Mantenimiento</v>
      </c>
    </row>
    <row r="396" spans="1:13" x14ac:dyDescent="0.3">
      <c r="A396" s="3">
        <f t="shared" si="50"/>
        <v>395</v>
      </c>
      <c r="B396" s="4">
        <f t="shared" ca="1" si="48"/>
        <v>45145</v>
      </c>
      <c r="C396" s="4" t="str">
        <f t="shared" ca="1" si="51"/>
        <v>2023-08</v>
      </c>
      <c r="D396" s="5">
        <f t="shared" ca="1" si="49"/>
        <v>7.9166666666666663E-2</v>
      </c>
      <c r="E396" s="3" t="str" cm="1">
        <f t="array" aca="1" ref="E396" ca="1">INDEX(lista!$A$1:$A$12, RANDBETWEEN(1, 12))</f>
        <v>Cabitos</v>
      </c>
      <c r="F396" s="3" t="s">
        <v>24</v>
      </c>
      <c r="G396" s="3" t="str" cm="1">
        <f t="array" aca="1" ref="G396" ca="1">INDEX(lista!$B$1:$B$6, RANDBETWEEN(1, 6))</f>
        <v>Radio</v>
      </c>
      <c r="H396" s="3" t="str" cm="1">
        <f t="array" aca="1" ref="H396" ca="1">INDEX(lista!$C$1:$C$4, RANDBETWEEN(1, 4))</f>
        <v>Falla mecánica</v>
      </c>
      <c r="I396" s="3" t="str">
        <f t="shared" ca="1" si="52"/>
        <v>Baja</v>
      </c>
      <c r="J396" s="3" t="str">
        <f t="shared" ca="1" si="53"/>
        <v>Pendiente</v>
      </c>
      <c r="K396" s="4" t="str">
        <f t="shared" ca="1" si="54"/>
        <v/>
      </c>
      <c r="L396" s="1" t="str">
        <f t="shared" ca="1" si="55"/>
        <v/>
      </c>
      <c r="M396" s="3" t="str">
        <f t="shared" ca="1" si="56"/>
        <v>Telecomunicaciones</v>
      </c>
    </row>
    <row r="397" spans="1:13" x14ac:dyDescent="0.3">
      <c r="A397" s="3">
        <f t="shared" si="50"/>
        <v>396</v>
      </c>
      <c r="B397" s="4">
        <f t="shared" ca="1" si="48"/>
        <v>45367</v>
      </c>
      <c r="C397" s="4" t="str">
        <f t="shared" ca="1" si="51"/>
        <v>2024-03</v>
      </c>
      <c r="D397" s="5">
        <f t="shared" ca="1" si="49"/>
        <v>0.57152777777777775</v>
      </c>
      <c r="E397" s="3" t="str" cm="1">
        <f t="array" aca="1" ref="E397" ca="1">INDEX(lista!$A$1:$A$12, RANDBETWEEN(1, 12))</f>
        <v>Pumacahua</v>
      </c>
      <c r="F397" s="3" t="s">
        <v>24</v>
      </c>
      <c r="G397" s="3" t="str" cm="1">
        <f t="array" aca="1" ref="G397" ca="1">INDEX(lista!$B$1:$B$6, RANDBETWEEN(1, 6))</f>
        <v>MET</v>
      </c>
      <c r="H397" s="3" t="str" cm="1">
        <f t="array" aca="1" ref="H397" ca="1">INDEX(lista!$C$1:$C$4, RANDBETWEEN(1, 4))</f>
        <v>Mantenimiento preventivo</v>
      </c>
      <c r="I397" s="3" t="str">
        <f t="shared" ca="1" si="52"/>
        <v>Media</v>
      </c>
      <c r="J397" s="3" t="str">
        <f t="shared" ca="1" si="53"/>
        <v>Atendida</v>
      </c>
      <c r="K397" s="4">
        <f t="shared" ca="1" si="54"/>
        <v>45367</v>
      </c>
      <c r="L397" s="1">
        <f t="shared" ca="1" si="55"/>
        <v>9</v>
      </c>
      <c r="M397" s="3" t="str">
        <f t="shared" ca="1" si="56"/>
        <v>Telecomunicaciones</v>
      </c>
    </row>
    <row r="398" spans="1:13" x14ac:dyDescent="0.3">
      <c r="A398" s="3">
        <f t="shared" si="50"/>
        <v>397</v>
      </c>
      <c r="B398" s="4">
        <f t="shared" ca="1" si="48"/>
        <v>45474</v>
      </c>
      <c r="C398" s="4" t="str">
        <f t="shared" ca="1" si="51"/>
        <v>2024-07</v>
      </c>
      <c r="D398" s="5">
        <f t="shared" ca="1" si="49"/>
        <v>0.92430555555555549</v>
      </c>
      <c r="E398" s="3" t="str" cm="1">
        <f t="array" aca="1" ref="E398" ca="1">INDEX(lista!$A$1:$A$12, RANDBETWEEN(1, 12))</f>
        <v>Ayacucho</v>
      </c>
      <c r="F398" s="3" t="s">
        <v>24</v>
      </c>
      <c r="G398" s="3" t="str" cm="1">
        <f t="array" aca="1" ref="G398" ca="1">INDEX(lista!$B$1:$B$6, RANDBETWEEN(1, 6))</f>
        <v>Ascensor</v>
      </c>
      <c r="H398" s="3" t="str" cm="1">
        <f t="array" aca="1" ref="H398" ca="1">INDEX(lista!$C$1:$C$4, RANDBETWEEN(1, 4))</f>
        <v>Falla eléctrica</v>
      </c>
      <c r="I398" s="3" t="str">
        <f t="shared" ca="1" si="52"/>
        <v>Alta</v>
      </c>
      <c r="J398" s="3" t="str">
        <f t="shared" ca="1" si="53"/>
        <v>Pendiente</v>
      </c>
      <c r="K398" s="4" t="str">
        <f t="shared" ca="1" si="54"/>
        <v/>
      </c>
      <c r="L398" s="1" t="str">
        <f t="shared" ca="1" si="55"/>
        <v/>
      </c>
      <c r="M398" s="3" t="str">
        <f t="shared" ca="1" si="56"/>
        <v>Mantenimiento</v>
      </c>
    </row>
    <row r="399" spans="1:13" x14ac:dyDescent="0.3">
      <c r="A399" s="3">
        <f t="shared" si="50"/>
        <v>398</v>
      </c>
      <c r="B399" s="4">
        <f t="shared" ca="1" si="48"/>
        <v>45199</v>
      </c>
      <c r="C399" s="4" t="str">
        <f t="shared" ca="1" si="51"/>
        <v>2023-09</v>
      </c>
      <c r="D399" s="5">
        <f t="shared" ca="1" si="49"/>
        <v>0.74791666666666667</v>
      </c>
      <c r="E399" s="3" t="str" cm="1">
        <f t="array" aca="1" ref="E399" ca="1">INDEX(lista!$A$1:$A$12, RANDBETWEEN(1, 12))</f>
        <v>Villa El Salvador</v>
      </c>
      <c r="F399" s="3" t="s">
        <v>24</v>
      </c>
      <c r="G399" s="3" t="str" cm="1">
        <f t="array" aca="1" ref="G399" ca="1">INDEX(lista!$B$1:$B$6, RANDBETWEEN(1, 6))</f>
        <v>TVM</v>
      </c>
      <c r="H399" s="3" t="str" cm="1">
        <f t="array" aca="1" ref="H399" ca="1">INDEX(lista!$C$1:$C$4, RANDBETWEEN(1, 4))</f>
        <v>Daño en infraestructura</v>
      </c>
      <c r="I399" s="3" t="str">
        <f t="shared" ca="1" si="52"/>
        <v>Media</v>
      </c>
      <c r="J399" s="3" t="str">
        <f t="shared" ca="1" si="53"/>
        <v>Atendida</v>
      </c>
      <c r="K399" s="4">
        <f t="shared" ca="1" si="54"/>
        <v>45199</v>
      </c>
      <c r="L399" s="1">
        <f t="shared" ca="1" si="55"/>
        <v>5</v>
      </c>
      <c r="M399" s="3" t="str">
        <f t="shared" ca="1" si="56"/>
        <v>Telecomunicaciones</v>
      </c>
    </row>
    <row r="400" spans="1:13" x14ac:dyDescent="0.3">
      <c r="A400" s="3">
        <f t="shared" si="50"/>
        <v>399</v>
      </c>
      <c r="B400" s="4">
        <f t="shared" ca="1" si="48"/>
        <v>45213</v>
      </c>
      <c r="C400" s="4" t="str">
        <f t="shared" ca="1" si="51"/>
        <v>2023-10</v>
      </c>
      <c r="D400" s="5">
        <f t="shared" ca="1" si="49"/>
        <v>0.97500000000000009</v>
      </c>
      <c r="E400" s="3" t="str" cm="1">
        <f t="array" aca="1" ref="E400" ca="1">INDEX(lista!$A$1:$A$12, RANDBETWEEN(1, 12))</f>
        <v>Gamarra</v>
      </c>
      <c r="F400" s="3" t="s">
        <v>24</v>
      </c>
      <c r="G400" s="3" t="str" cm="1">
        <f t="array" aca="1" ref="G400" ca="1">INDEX(lista!$B$1:$B$6, RANDBETWEEN(1, 6))</f>
        <v>MET</v>
      </c>
      <c r="H400" s="3" t="str" cm="1">
        <f t="array" aca="1" ref="H400" ca="1">INDEX(lista!$C$1:$C$4, RANDBETWEEN(1, 4))</f>
        <v>Falla eléctrica</v>
      </c>
      <c r="I400" s="3" t="str">
        <f t="shared" ca="1" si="52"/>
        <v>Media</v>
      </c>
      <c r="J400" s="3" t="str">
        <f t="shared" ca="1" si="53"/>
        <v>Pendiente</v>
      </c>
      <c r="K400" s="4" t="str">
        <f t="shared" ca="1" si="54"/>
        <v/>
      </c>
      <c r="L400" s="1" t="str">
        <f t="shared" ca="1" si="55"/>
        <v/>
      </c>
      <c r="M400" s="3" t="str">
        <f t="shared" ca="1" si="56"/>
        <v>Telecomunicaciones</v>
      </c>
    </row>
    <row r="401" spans="1:13" x14ac:dyDescent="0.3">
      <c r="A401" s="3">
        <f t="shared" si="50"/>
        <v>400</v>
      </c>
      <c r="B401" s="4">
        <f t="shared" ca="1" si="48"/>
        <v>45570</v>
      </c>
      <c r="C401" s="4" t="str">
        <f t="shared" ca="1" si="51"/>
        <v>2024-10</v>
      </c>
      <c r="D401" s="5">
        <f t="shared" ca="1" si="49"/>
        <v>0.78402777777777777</v>
      </c>
      <c r="E401" s="3" t="str" cm="1">
        <f t="array" aca="1" ref="E401" ca="1">INDEX(lista!$A$1:$A$12, RANDBETWEEN(1, 12))</f>
        <v>Villa El Salvador</v>
      </c>
      <c r="F401" s="3" t="s">
        <v>24</v>
      </c>
      <c r="G401" s="3" t="str" cm="1">
        <f t="array" aca="1" ref="G401" ca="1">INDEX(lista!$B$1:$B$6, RANDBETWEEN(1, 6))</f>
        <v>MET</v>
      </c>
      <c r="H401" s="3" t="str" cm="1">
        <f t="array" aca="1" ref="H401" ca="1">INDEX(lista!$C$1:$C$4, RANDBETWEEN(1, 4))</f>
        <v>Falla eléctrica</v>
      </c>
      <c r="I401" s="3" t="str">
        <f t="shared" ca="1" si="52"/>
        <v>Media</v>
      </c>
      <c r="J401" s="3" t="str">
        <f t="shared" ca="1" si="53"/>
        <v>En curso</v>
      </c>
      <c r="K401" s="4" t="str">
        <f t="shared" ca="1" si="54"/>
        <v/>
      </c>
      <c r="L401" s="1" t="str">
        <f t="shared" ca="1" si="55"/>
        <v/>
      </c>
      <c r="M401" s="3" t="str">
        <f t="shared" ca="1" si="56"/>
        <v>Telecomunicaciones</v>
      </c>
    </row>
    <row r="402" spans="1:13" x14ac:dyDescent="0.3">
      <c r="A402" s="3">
        <f t="shared" si="50"/>
        <v>401</v>
      </c>
      <c r="B402" s="4">
        <f t="shared" ca="1" si="48"/>
        <v>45631</v>
      </c>
      <c r="C402" s="4" t="str">
        <f t="shared" ca="1" si="51"/>
        <v>2024-12</v>
      </c>
      <c r="D402" s="5">
        <f t="shared" ca="1" si="49"/>
        <v>0.99652777777777779</v>
      </c>
      <c r="E402" s="3" t="str" cm="1">
        <f t="array" aca="1" ref="E402" ca="1">INDEX(lista!$A$1:$A$12, RANDBETWEEN(1, 12))</f>
        <v>Ayacucho</v>
      </c>
      <c r="F402" s="3" t="s">
        <v>24</v>
      </c>
      <c r="G402" s="3" t="str" cm="1">
        <f t="array" aca="1" ref="G402" ca="1">INDEX(lista!$B$1:$B$6, RANDBETWEEN(1, 6))</f>
        <v>Torniquete</v>
      </c>
      <c r="H402" s="3" t="str" cm="1">
        <f t="array" aca="1" ref="H402" ca="1">INDEX(lista!$C$1:$C$4, RANDBETWEEN(1, 4))</f>
        <v>Falla eléctrica</v>
      </c>
      <c r="I402" s="3" t="str">
        <f t="shared" ca="1" si="52"/>
        <v>Media</v>
      </c>
      <c r="J402" s="3" t="str">
        <f t="shared" ca="1" si="53"/>
        <v>Pendiente</v>
      </c>
      <c r="K402" s="4" t="str">
        <f t="shared" ca="1" si="54"/>
        <v/>
      </c>
      <c r="L402" s="1" t="str">
        <f t="shared" ca="1" si="55"/>
        <v/>
      </c>
      <c r="M402" s="3" t="str">
        <f t="shared" ca="1" si="56"/>
        <v>Telecomunicaciones</v>
      </c>
    </row>
    <row r="403" spans="1:13" x14ac:dyDescent="0.3">
      <c r="A403" s="3">
        <f t="shared" si="50"/>
        <v>402</v>
      </c>
      <c r="B403" s="4">
        <f t="shared" ca="1" si="48"/>
        <v>45336</v>
      </c>
      <c r="C403" s="4" t="str">
        <f t="shared" ca="1" si="51"/>
        <v>2024-02</v>
      </c>
      <c r="D403" s="5">
        <f t="shared" ca="1" si="49"/>
        <v>5.347222222222222E-2</v>
      </c>
      <c r="E403" s="3" t="str" cm="1">
        <f t="array" aca="1" ref="E403" ca="1">INDEX(lista!$A$1:$A$12, RANDBETWEEN(1, 12))</f>
        <v>Santa Rosa</v>
      </c>
      <c r="F403" s="3" t="s">
        <v>24</v>
      </c>
      <c r="G403" s="3" t="str" cm="1">
        <f t="array" aca="1" ref="G403" ca="1">INDEX(lista!$B$1:$B$6, RANDBETWEEN(1, 6))</f>
        <v>Escalera eléctrica</v>
      </c>
      <c r="H403" s="3" t="str" cm="1">
        <f t="array" aca="1" ref="H403" ca="1">INDEX(lista!$C$1:$C$4, RANDBETWEEN(1, 4))</f>
        <v>Falla eléctrica</v>
      </c>
      <c r="I403" s="3" t="str">
        <f t="shared" ca="1" si="52"/>
        <v>Baja</v>
      </c>
      <c r="J403" s="3" t="str">
        <f t="shared" ca="1" si="53"/>
        <v>Atendida</v>
      </c>
      <c r="K403" s="4">
        <f t="shared" ca="1" si="54"/>
        <v>45336</v>
      </c>
      <c r="L403" s="1">
        <f t="shared" ca="1" si="55"/>
        <v>6</v>
      </c>
      <c r="M403" s="3" t="str">
        <f t="shared" ca="1" si="56"/>
        <v>Mantenimiento</v>
      </c>
    </row>
    <row r="404" spans="1:13" x14ac:dyDescent="0.3">
      <c r="A404" s="3">
        <f t="shared" si="50"/>
        <v>403</v>
      </c>
      <c r="B404" s="4">
        <f t="shared" ca="1" si="48"/>
        <v>45093</v>
      </c>
      <c r="C404" s="4" t="str">
        <f t="shared" ca="1" si="51"/>
        <v>2023-06</v>
      </c>
      <c r="D404" s="5">
        <f t="shared" ca="1" si="49"/>
        <v>0.38194444444444442</v>
      </c>
      <c r="E404" s="3" t="str" cm="1">
        <f t="array" aca="1" ref="E404" ca="1">INDEX(lista!$A$1:$A$12, RANDBETWEEN(1, 12))</f>
        <v>San Carlos</v>
      </c>
      <c r="F404" s="3" t="s">
        <v>24</v>
      </c>
      <c r="G404" s="3" t="str" cm="1">
        <f t="array" aca="1" ref="G404" ca="1">INDEX(lista!$B$1:$B$6, RANDBETWEEN(1, 6))</f>
        <v>Ascensor</v>
      </c>
      <c r="H404" s="3" t="str" cm="1">
        <f t="array" aca="1" ref="H404" ca="1">INDEX(lista!$C$1:$C$4, RANDBETWEEN(1, 4))</f>
        <v>Mantenimiento preventivo</v>
      </c>
      <c r="I404" s="3" t="str">
        <f t="shared" ca="1" si="52"/>
        <v>Baja</v>
      </c>
      <c r="J404" s="3" t="str">
        <f t="shared" ca="1" si="53"/>
        <v>Atendida</v>
      </c>
      <c r="K404" s="4">
        <f t="shared" ca="1" si="54"/>
        <v>45093</v>
      </c>
      <c r="L404" s="1">
        <f t="shared" ca="1" si="55"/>
        <v>18</v>
      </c>
      <c r="M404" s="3" t="str">
        <f t="shared" ca="1" si="56"/>
        <v>Mantenimiento</v>
      </c>
    </row>
    <row r="405" spans="1:13" x14ac:dyDescent="0.3">
      <c r="A405" s="3">
        <f t="shared" si="50"/>
        <v>404</v>
      </c>
      <c r="B405" s="4">
        <f t="shared" ca="1" si="48"/>
        <v>45141</v>
      </c>
      <c r="C405" s="4" t="str">
        <f t="shared" ca="1" si="51"/>
        <v>2023-08</v>
      </c>
      <c r="D405" s="5">
        <f t="shared" ca="1" si="49"/>
        <v>0.56597222222222221</v>
      </c>
      <c r="E405" s="3" t="str" cm="1">
        <f t="array" aca="1" ref="E405" ca="1">INDEX(lista!$A$1:$A$12, RANDBETWEEN(1, 12))</f>
        <v>Bayóvar</v>
      </c>
      <c r="F405" s="3" t="s">
        <v>24</v>
      </c>
      <c r="G405" s="3" t="str" cm="1">
        <f t="array" aca="1" ref="G405" ca="1">INDEX(lista!$B$1:$B$6, RANDBETWEEN(1, 6))</f>
        <v>Escalera eléctrica</v>
      </c>
      <c r="H405" s="3" t="str" cm="1">
        <f t="array" aca="1" ref="H405" ca="1">INDEX(lista!$C$1:$C$4, RANDBETWEEN(1, 4))</f>
        <v>Mantenimiento preventivo</v>
      </c>
      <c r="I405" s="3" t="str">
        <f t="shared" ca="1" si="52"/>
        <v>Alta</v>
      </c>
      <c r="J405" s="3" t="str">
        <f t="shared" ca="1" si="53"/>
        <v>En curso</v>
      </c>
      <c r="K405" s="4" t="str">
        <f t="shared" ca="1" si="54"/>
        <v/>
      </c>
      <c r="L405" s="1" t="str">
        <f t="shared" ca="1" si="55"/>
        <v/>
      </c>
      <c r="M405" s="3" t="str">
        <f t="shared" ca="1" si="56"/>
        <v>Mantenimiento</v>
      </c>
    </row>
    <row r="406" spans="1:13" x14ac:dyDescent="0.3">
      <c r="A406" s="3">
        <f t="shared" si="50"/>
        <v>405</v>
      </c>
      <c r="B406" s="4">
        <f t="shared" ca="1" si="48"/>
        <v>44942</v>
      </c>
      <c r="C406" s="4" t="str">
        <f t="shared" ca="1" si="51"/>
        <v>2023-01</v>
      </c>
      <c r="D406" s="5">
        <f t="shared" ca="1" si="49"/>
        <v>0.79930555555555549</v>
      </c>
      <c r="E406" s="3" t="str" cm="1">
        <f t="array" aca="1" ref="E406" ca="1">INDEX(lista!$A$1:$A$12, RANDBETWEEN(1, 12))</f>
        <v>Angamos</v>
      </c>
      <c r="F406" s="3" t="s">
        <v>24</v>
      </c>
      <c r="G406" s="3" t="str" cm="1">
        <f t="array" aca="1" ref="G406" ca="1">INDEX(lista!$B$1:$B$6, RANDBETWEEN(1, 6))</f>
        <v>TVM</v>
      </c>
      <c r="H406" s="3" t="str" cm="1">
        <f t="array" aca="1" ref="H406" ca="1">INDEX(lista!$C$1:$C$4, RANDBETWEEN(1, 4))</f>
        <v>Falla eléctrica</v>
      </c>
      <c r="I406" s="3" t="str">
        <f t="shared" ca="1" si="52"/>
        <v>Alta</v>
      </c>
      <c r="J406" s="3" t="str">
        <f t="shared" ca="1" si="53"/>
        <v>Atendida</v>
      </c>
      <c r="K406" s="4">
        <f t="shared" ca="1" si="54"/>
        <v>44943</v>
      </c>
      <c r="L406" s="1">
        <f t="shared" ca="1" si="55"/>
        <v>4</v>
      </c>
      <c r="M406" s="3" t="str">
        <f t="shared" ca="1" si="56"/>
        <v>Telecomunicaciones</v>
      </c>
    </row>
    <row r="407" spans="1:13" x14ac:dyDescent="0.3">
      <c r="A407" s="3">
        <f t="shared" si="50"/>
        <v>406</v>
      </c>
      <c r="B407" s="4">
        <f t="shared" ca="1" si="48"/>
        <v>45498</v>
      </c>
      <c r="C407" s="4" t="str">
        <f t="shared" ca="1" si="51"/>
        <v>2024-07</v>
      </c>
      <c r="D407" s="5">
        <f t="shared" ca="1" si="49"/>
        <v>0.67847222222222214</v>
      </c>
      <c r="E407" s="3" t="str" cm="1">
        <f t="array" aca="1" ref="E407" ca="1">INDEX(lista!$A$1:$A$12, RANDBETWEEN(1, 12))</f>
        <v>Pumacahua</v>
      </c>
      <c r="F407" s="3" t="s">
        <v>24</v>
      </c>
      <c r="G407" s="3" t="str" cm="1">
        <f t="array" aca="1" ref="G407" ca="1">INDEX(lista!$B$1:$B$6, RANDBETWEEN(1, 6))</f>
        <v>Escalera eléctrica</v>
      </c>
      <c r="H407" s="3" t="str" cm="1">
        <f t="array" aca="1" ref="H407" ca="1">INDEX(lista!$C$1:$C$4, RANDBETWEEN(1, 4))</f>
        <v>Daño en infraestructura</v>
      </c>
      <c r="I407" s="3" t="str">
        <f t="shared" ca="1" si="52"/>
        <v>Media</v>
      </c>
      <c r="J407" s="3" t="str">
        <f t="shared" ca="1" si="53"/>
        <v>Atendida</v>
      </c>
      <c r="K407" s="4">
        <f t="shared" ca="1" si="54"/>
        <v>45498</v>
      </c>
      <c r="L407" s="1">
        <f t="shared" ca="1" si="55"/>
        <v>12</v>
      </c>
      <c r="M407" s="3" t="str">
        <f t="shared" ca="1" si="56"/>
        <v>Mantenimiento</v>
      </c>
    </row>
    <row r="408" spans="1:13" x14ac:dyDescent="0.3">
      <c r="A408" s="3">
        <f t="shared" si="50"/>
        <v>407</v>
      </c>
      <c r="B408" s="4">
        <f t="shared" ca="1" si="48"/>
        <v>45060</v>
      </c>
      <c r="C408" s="4" t="str">
        <f t="shared" ca="1" si="51"/>
        <v>2023-05</v>
      </c>
      <c r="D408" s="5">
        <f t="shared" ca="1" si="49"/>
        <v>0.58819444444444446</v>
      </c>
      <c r="E408" s="3" t="str" cm="1">
        <f t="array" aca="1" ref="E408" ca="1">INDEX(lista!$A$1:$A$12, RANDBETWEEN(1, 12))</f>
        <v>Santa Rosa</v>
      </c>
      <c r="F408" s="3" t="s">
        <v>24</v>
      </c>
      <c r="G408" s="3" t="str" cm="1">
        <f t="array" aca="1" ref="G408" ca="1">INDEX(lista!$B$1:$B$6, RANDBETWEEN(1, 6))</f>
        <v>Ascensor</v>
      </c>
      <c r="H408" s="3" t="str" cm="1">
        <f t="array" aca="1" ref="H408" ca="1">INDEX(lista!$C$1:$C$4, RANDBETWEEN(1, 4))</f>
        <v>Daño en infraestructura</v>
      </c>
      <c r="I408" s="3" t="str">
        <f t="shared" ca="1" si="52"/>
        <v>Baja</v>
      </c>
      <c r="J408" s="3" t="str">
        <f t="shared" ca="1" si="53"/>
        <v>Atendida</v>
      </c>
      <c r="K408" s="4">
        <f t="shared" ca="1" si="54"/>
        <v>45062</v>
      </c>
      <c r="L408" s="1">
        <f t="shared" ca="1" si="55"/>
        <v>13</v>
      </c>
      <c r="M408" s="3" t="str">
        <f t="shared" ca="1" si="56"/>
        <v>Mantenimiento</v>
      </c>
    </row>
    <row r="409" spans="1:13" x14ac:dyDescent="0.3">
      <c r="A409" s="3">
        <f t="shared" si="50"/>
        <v>408</v>
      </c>
      <c r="B409" s="4">
        <f t="shared" ca="1" si="48"/>
        <v>45373</v>
      </c>
      <c r="C409" s="4" t="str">
        <f t="shared" ca="1" si="51"/>
        <v>2024-03</v>
      </c>
      <c r="D409" s="5">
        <f t="shared" ca="1" si="49"/>
        <v>0.59652777777777777</v>
      </c>
      <c r="E409" s="3" t="str" cm="1">
        <f t="array" aca="1" ref="E409" ca="1">INDEX(lista!$A$1:$A$12, RANDBETWEEN(1, 12))</f>
        <v>Pumacahua</v>
      </c>
      <c r="F409" s="3" t="s">
        <v>24</v>
      </c>
      <c r="G409" s="3" t="str" cm="1">
        <f t="array" aca="1" ref="G409" ca="1">INDEX(lista!$B$1:$B$6, RANDBETWEEN(1, 6))</f>
        <v>Torniquete</v>
      </c>
      <c r="H409" s="3" t="str" cm="1">
        <f t="array" aca="1" ref="H409" ca="1">INDEX(lista!$C$1:$C$4, RANDBETWEEN(1, 4))</f>
        <v>Falla mecánica</v>
      </c>
      <c r="I409" s="3" t="str">
        <f t="shared" ca="1" si="52"/>
        <v>Baja</v>
      </c>
      <c r="J409" s="3" t="str">
        <f t="shared" ca="1" si="53"/>
        <v>Atendida</v>
      </c>
      <c r="K409" s="4">
        <f t="shared" ca="1" si="54"/>
        <v>45375</v>
      </c>
      <c r="L409" s="1">
        <f t="shared" ca="1" si="55"/>
        <v>18</v>
      </c>
      <c r="M409" s="3" t="str">
        <f t="shared" ca="1" si="56"/>
        <v>Telecomunicaciones</v>
      </c>
    </row>
    <row r="410" spans="1:13" x14ac:dyDescent="0.3">
      <c r="A410" s="3">
        <f t="shared" si="50"/>
        <v>409</v>
      </c>
      <c r="B410" s="4">
        <f t="shared" ca="1" si="48"/>
        <v>45452</v>
      </c>
      <c r="C410" s="4" t="str">
        <f t="shared" ca="1" si="51"/>
        <v>2024-06</v>
      </c>
      <c r="D410" s="5">
        <f t="shared" ca="1" si="49"/>
        <v>0.13263888888888889</v>
      </c>
      <c r="E410" s="3" t="str" cm="1">
        <f t="array" aca="1" ref="E410" ca="1">INDEX(lista!$A$1:$A$12, RANDBETWEEN(1, 12))</f>
        <v>Villa El Salvador</v>
      </c>
      <c r="F410" s="3" t="s">
        <v>24</v>
      </c>
      <c r="G410" s="3" t="str" cm="1">
        <f t="array" aca="1" ref="G410" ca="1">INDEX(lista!$B$1:$B$6, RANDBETWEEN(1, 6))</f>
        <v>Torniquete</v>
      </c>
      <c r="H410" s="3" t="str" cm="1">
        <f t="array" aca="1" ref="H410" ca="1">INDEX(lista!$C$1:$C$4, RANDBETWEEN(1, 4))</f>
        <v>Falla mecánica</v>
      </c>
      <c r="I410" s="3" t="str">
        <f t="shared" ca="1" si="52"/>
        <v>Media</v>
      </c>
      <c r="J410" s="3" t="str">
        <f t="shared" ca="1" si="53"/>
        <v>Atendida</v>
      </c>
      <c r="K410" s="4">
        <f t="shared" ca="1" si="54"/>
        <v>45452</v>
      </c>
      <c r="L410" s="1">
        <f t="shared" ca="1" si="55"/>
        <v>9</v>
      </c>
      <c r="M410" s="3" t="str">
        <f t="shared" ca="1" si="56"/>
        <v>Telecomunicaciones</v>
      </c>
    </row>
    <row r="411" spans="1:13" x14ac:dyDescent="0.3">
      <c r="A411" s="3">
        <f t="shared" si="50"/>
        <v>410</v>
      </c>
      <c r="B411" s="4">
        <f t="shared" ca="1" si="48"/>
        <v>45589</v>
      </c>
      <c r="C411" s="4" t="str">
        <f t="shared" ca="1" si="51"/>
        <v>2024-10</v>
      </c>
      <c r="D411" s="5">
        <f t="shared" ca="1" si="49"/>
        <v>0.34930555555555554</v>
      </c>
      <c r="E411" s="3" t="str" cm="1">
        <f t="array" aca="1" ref="E411" ca="1">INDEX(lista!$A$1:$A$12, RANDBETWEEN(1, 12))</f>
        <v>Atocongo</v>
      </c>
      <c r="F411" s="3" t="s">
        <v>24</v>
      </c>
      <c r="G411" s="3" t="str" cm="1">
        <f t="array" aca="1" ref="G411" ca="1">INDEX(lista!$B$1:$B$6, RANDBETWEEN(1, 6))</f>
        <v>MET</v>
      </c>
      <c r="H411" s="3" t="str" cm="1">
        <f t="array" aca="1" ref="H411" ca="1">INDEX(lista!$C$1:$C$4, RANDBETWEEN(1, 4))</f>
        <v>Falla eléctrica</v>
      </c>
      <c r="I411" s="3" t="str">
        <f t="shared" ca="1" si="52"/>
        <v>Baja</v>
      </c>
      <c r="J411" s="3" t="str">
        <f t="shared" ca="1" si="53"/>
        <v>Atendida</v>
      </c>
      <c r="K411" s="4">
        <f t="shared" ca="1" si="54"/>
        <v>45589</v>
      </c>
      <c r="L411" s="1">
        <f t="shared" ca="1" si="55"/>
        <v>18</v>
      </c>
      <c r="M411" s="3" t="str">
        <f t="shared" ca="1" si="56"/>
        <v>Telecomunicaciones</v>
      </c>
    </row>
    <row r="412" spans="1:13" x14ac:dyDescent="0.3">
      <c r="A412" s="3">
        <f t="shared" si="50"/>
        <v>411</v>
      </c>
      <c r="B412" s="4">
        <f t="shared" ca="1" si="48"/>
        <v>45415</v>
      </c>
      <c r="C412" s="4" t="str">
        <f t="shared" ca="1" si="51"/>
        <v>2024-05</v>
      </c>
      <c r="D412" s="5">
        <f t="shared" ca="1" si="49"/>
        <v>0.96180555555555558</v>
      </c>
      <c r="E412" s="3" t="str" cm="1">
        <f t="array" aca="1" ref="E412" ca="1">INDEX(lista!$A$1:$A$12, RANDBETWEEN(1, 12))</f>
        <v>Bayóvar</v>
      </c>
      <c r="F412" s="3" t="s">
        <v>24</v>
      </c>
      <c r="G412" s="3" t="str" cm="1">
        <f t="array" aca="1" ref="G412" ca="1">INDEX(lista!$B$1:$B$6, RANDBETWEEN(1, 6))</f>
        <v>Escalera eléctrica</v>
      </c>
      <c r="H412" s="3" t="str" cm="1">
        <f t="array" aca="1" ref="H412" ca="1">INDEX(lista!$C$1:$C$4, RANDBETWEEN(1, 4))</f>
        <v>Daño en infraestructura</v>
      </c>
      <c r="I412" s="3" t="str">
        <f t="shared" ca="1" si="52"/>
        <v>Alta</v>
      </c>
      <c r="J412" s="3" t="str">
        <f t="shared" ca="1" si="53"/>
        <v>Pendiente</v>
      </c>
      <c r="K412" s="4" t="str">
        <f t="shared" ca="1" si="54"/>
        <v/>
      </c>
      <c r="L412" s="1" t="str">
        <f t="shared" ca="1" si="55"/>
        <v/>
      </c>
      <c r="M412" s="3" t="str">
        <f t="shared" ca="1" si="56"/>
        <v>Mantenimiento</v>
      </c>
    </row>
    <row r="413" spans="1:13" x14ac:dyDescent="0.3">
      <c r="A413" s="3">
        <f t="shared" si="50"/>
        <v>412</v>
      </c>
      <c r="B413" s="4">
        <f t="shared" ca="1" si="48"/>
        <v>45351</v>
      </c>
      <c r="C413" s="4" t="str">
        <f t="shared" ca="1" si="51"/>
        <v>2024-02</v>
      </c>
      <c r="D413" s="5">
        <f t="shared" ca="1" si="49"/>
        <v>0.51527777777777772</v>
      </c>
      <c r="E413" s="3" t="str" cm="1">
        <f t="array" aca="1" ref="E413" ca="1">INDEX(lista!$A$1:$A$12, RANDBETWEEN(1, 12))</f>
        <v>San Carlos</v>
      </c>
      <c r="F413" s="3" t="s">
        <v>24</v>
      </c>
      <c r="G413" s="3" t="str" cm="1">
        <f t="array" aca="1" ref="G413" ca="1">INDEX(lista!$B$1:$B$6, RANDBETWEEN(1, 6))</f>
        <v>Radio</v>
      </c>
      <c r="H413" s="3" t="str" cm="1">
        <f t="array" aca="1" ref="H413" ca="1">INDEX(lista!$C$1:$C$4, RANDBETWEEN(1, 4))</f>
        <v>Daño en infraestructura</v>
      </c>
      <c r="I413" s="3" t="str">
        <f t="shared" ca="1" si="52"/>
        <v>Media</v>
      </c>
      <c r="J413" s="3" t="str">
        <f t="shared" ca="1" si="53"/>
        <v>Pendiente</v>
      </c>
      <c r="K413" s="4" t="str">
        <f t="shared" ca="1" si="54"/>
        <v/>
      </c>
      <c r="L413" s="1" t="str">
        <f t="shared" ca="1" si="55"/>
        <v/>
      </c>
      <c r="M413" s="3" t="str">
        <f t="shared" ca="1" si="56"/>
        <v>Telecomunicaciones</v>
      </c>
    </row>
    <row r="414" spans="1:13" x14ac:dyDescent="0.3">
      <c r="A414" s="3">
        <f t="shared" si="50"/>
        <v>413</v>
      </c>
      <c r="B414" s="4">
        <f t="shared" ca="1" si="48"/>
        <v>45357</v>
      </c>
      <c r="C414" s="4" t="str">
        <f t="shared" ca="1" si="51"/>
        <v>2024-03</v>
      </c>
      <c r="D414" s="5">
        <f t="shared" ca="1" si="49"/>
        <v>0.50972222222222219</v>
      </c>
      <c r="E414" s="3" t="str" cm="1">
        <f t="array" aca="1" ref="E414" ca="1">INDEX(lista!$A$1:$A$12, RANDBETWEEN(1, 12))</f>
        <v>San Borja Sur</v>
      </c>
      <c r="F414" s="3" t="s">
        <v>24</v>
      </c>
      <c r="G414" s="3" t="str" cm="1">
        <f t="array" aca="1" ref="G414" ca="1">INDEX(lista!$B$1:$B$6, RANDBETWEEN(1, 6))</f>
        <v>Ascensor</v>
      </c>
      <c r="H414" s="3" t="str" cm="1">
        <f t="array" aca="1" ref="H414" ca="1">INDEX(lista!$C$1:$C$4, RANDBETWEEN(1, 4))</f>
        <v>Daño en infraestructura</v>
      </c>
      <c r="I414" s="3" t="str">
        <f t="shared" ca="1" si="52"/>
        <v>Media</v>
      </c>
      <c r="J414" s="3" t="str">
        <f t="shared" ca="1" si="53"/>
        <v>Pendiente</v>
      </c>
      <c r="K414" s="4" t="str">
        <f t="shared" ca="1" si="54"/>
        <v/>
      </c>
      <c r="L414" s="1" t="str">
        <f t="shared" ca="1" si="55"/>
        <v/>
      </c>
      <c r="M414" s="3" t="str">
        <f t="shared" ca="1" si="56"/>
        <v>Mantenimiento</v>
      </c>
    </row>
    <row r="415" spans="1:13" x14ac:dyDescent="0.3">
      <c r="A415" s="3">
        <f t="shared" si="50"/>
        <v>414</v>
      </c>
      <c r="B415" s="4">
        <f t="shared" ca="1" si="48"/>
        <v>45111</v>
      </c>
      <c r="C415" s="4" t="str">
        <f t="shared" ca="1" si="51"/>
        <v>2023-07</v>
      </c>
      <c r="D415" s="5">
        <f t="shared" ca="1" si="49"/>
        <v>9.722222222222221E-2</v>
      </c>
      <c r="E415" s="3" t="str" cm="1">
        <f t="array" aca="1" ref="E415" ca="1">INDEX(lista!$A$1:$A$12, RANDBETWEEN(1, 12))</f>
        <v>Pumacahua</v>
      </c>
      <c r="F415" s="3" t="s">
        <v>24</v>
      </c>
      <c r="G415" s="3" t="str" cm="1">
        <f t="array" aca="1" ref="G415" ca="1">INDEX(lista!$B$1:$B$6, RANDBETWEEN(1, 6))</f>
        <v>Escalera eléctrica</v>
      </c>
      <c r="H415" s="3" t="str" cm="1">
        <f t="array" aca="1" ref="H415" ca="1">INDEX(lista!$C$1:$C$4, RANDBETWEEN(1, 4))</f>
        <v>Daño en infraestructura</v>
      </c>
      <c r="I415" s="3" t="str">
        <f t="shared" ca="1" si="52"/>
        <v>Media</v>
      </c>
      <c r="J415" s="3" t="str">
        <f t="shared" ca="1" si="53"/>
        <v>En curso</v>
      </c>
      <c r="K415" s="4" t="str">
        <f t="shared" ca="1" si="54"/>
        <v/>
      </c>
      <c r="L415" s="1" t="str">
        <f t="shared" ca="1" si="55"/>
        <v/>
      </c>
      <c r="M415" s="3" t="str">
        <f t="shared" ca="1" si="56"/>
        <v>Mantenimiento</v>
      </c>
    </row>
    <row r="416" spans="1:13" x14ac:dyDescent="0.3">
      <c r="A416" s="3">
        <f t="shared" si="50"/>
        <v>415</v>
      </c>
      <c r="B416" s="4">
        <f t="shared" ca="1" si="48"/>
        <v>45286</v>
      </c>
      <c r="C416" s="4" t="str">
        <f t="shared" ca="1" si="51"/>
        <v>2023-12</v>
      </c>
      <c r="D416" s="5">
        <f t="shared" ca="1" si="49"/>
        <v>0.82847222222222217</v>
      </c>
      <c r="E416" s="3" t="str" cm="1">
        <f t="array" aca="1" ref="E416" ca="1">INDEX(lista!$A$1:$A$12, RANDBETWEEN(1, 12))</f>
        <v>San Carlos</v>
      </c>
      <c r="F416" s="3" t="s">
        <v>24</v>
      </c>
      <c r="G416" s="3" t="str" cm="1">
        <f t="array" aca="1" ref="G416" ca="1">INDEX(lista!$B$1:$B$6, RANDBETWEEN(1, 6))</f>
        <v>Escalera eléctrica</v>
      </c>
      <c r="H416" s="3" t="str" cm="1">
        <f t="array" aca="1" ref="H416" ca="1">INDEX(lista!$C$1:$C$4, RANDBETWEEN(1, 4))</f>
        <v>Daño en infraestructura</v>
      </c>
      <c r="I416" s="3" t="str">
        <f t="shared" ca="1" si="52"/>
        <v>Media</v>
      </c>
      <c r="J416" s="3" t="str">
        <f t="shared" ca="1" si="53"/>
        <v>Atendida</v>
      </c>
      <c r="K416" s="4">
        <f t="shared" ca="1" si="54"/>
        <v>45287</v>
      </c>
      <c r="L416" s="1">
        <f t="shared" ca="1" si="55"/>
        <v>19</v>
      </c>
      <c r="M416" s="3" t="str">
        <f t="shared" ca="1" si="56"/>
        <v>Mantenimiento</v>
      </c>
    </row>
    <row r="417" spans="1:13" x14ac:dyDescent="0.3">
      <c r="A417" s="3">
        <f t="shared" si="50"/>
        <v>416</v>
      </c>
      <c r="B417" s="4">
        <f t="shared" ca="1" si="48"/>
        <v>45274</v>
      </c>
      <c r="C417" s="4" t="str">
        <f t="shared" ca="1" si="51"/>
        <v>2023-12</v>
      </c>
      <c r="D417" s="5">
        <f t="shared" ca="1" si="49"/>
        <v>0.11249999999999999</v>
      </c>
      <c r="E417" s="3" t="str" cm="1">
        <f t="array" aca="1" ref="E417" ca="1">INDEX(lista!$A$1:$A$12, RANDBETWEEN(1, 12))</f>
        <v>Santa Rosa</v>
      </c>
      <c r="F417" s="3" t="s">
        <v>24</v>
      </c>
      <c r="G417" s="3" t="str" cm="1">
        <f t="array" aca="1" ref="G417" ca="1">INDEX(lista!$B$1:$B$6, RANDBETWEEN(1, 6))</f>
        <v>Escalera eléctrica</v>
      </c>
      <c r="H417" s="3" t="str" cm="1">
        <f t="array" aca="1" ref="H417" ca="1">INDEX(lista!$C$1:$C$4, RANDBETWEEN(1, 4))</f>
        <v>Falla mecánica</v>
      </c>
      <c r="I417" s="3" t="str">
        <f t="shared" ca="1" si="52"/>
        <v>Media</v>
      </c>
      <c r="J417" s="3" t="str">
        <f t="shared" ca="1" si="53"/>
        <v>Atendida</v>
      </c>
      <c r="K417" s="4">
        <f t="shared" ca="1" si="54"/>
        <v>45274</v>
      </c>
      <c r="L417" s="1">
        <f t="shared" ca="1" si="55"/>
        <v>19</v>
      </c>
      <c r="M417" s="3" t="str">
        <f t="shared" ca="1" si="56"/>
        <v>Mantenimiento</v>
      </c>
    </row>
    <row r="418" spans="1:13" x14ac:dyDescent="0.3">
      <c r="A418" s="3">
        <f t="shared" si="50"/>
        <v>417</v>
      </c>
      <c r="B418" s="4">
        <f t="shared" ca="1" si="48"/>
        <v>45131</v>
      </c>
      <c r="C418" s="4" t="str">
        <f t="shared" ca="1" si="51"/>
        <v>2023-07</v>
      </c>
      <c r="D418" s="5">
        <f t="shared" ca="1" si="49"/>
        <v>0.84444444444444444</v>
      </c>
      <c r="E418" s="3" t="str" cm="1">
        <f t="array" aca="1" ref="E418" ca="1">INDEX(lista!$A$1:$A$12, RANDBETWEEN(1, 12))</f>
        <v>Pumacahua</v>
      </c>
      <c r="F418" s="3" t="s">
        <v>24</v>
      </c>
      <c r="G418" s="3" t="str" cm="1">
        <f t="array" aca="1" ref="G418" ca="1">INDEX(lista!$B$1:$B$6, RANDBETWEEN(1, 6))</f>
        <v>Escalera eléctrica</v>
      </c>
      <c r="H418" s="3" t="str" cm="1">
        <f t="array" aca="1" ref="H418" ca="1">INDEX(lista!$C$1:$C$4, RANDBETWEEN(1, 4))</f>
        <v>Daño en infraestructura</v>
      </c>
      <c r="I418" s="3" t="str">
        <f t="shared" ca="1" si="52"/>
        <v>Media</v>
      </c>
      <c r="J418" s="3" t="str">
        <f t="shared" ca="1" si="53"/>
        <v>En curso</v>
      </c>
      <c r="K418" s="4" t="str">
        <f t="shared" ca="1" si="54"/>
        <v/>
      </c>
      <c r="L418" s="1" t="str">
        <f t="shared" ca="1" si="55"/>
        <v/>
      </c>
      <c r="M418" s="3" t="str">
        <f t="shared" ca="1" si="56"/>
        <v>Mantenimiento</v>
      </c>
    </row>
    <row r="419" spans="1:13" x14ac:dyDescent="0.3">
      <c r="A419" s="3">
        <f t="shared" si="50"/>
        <v>418</v>
      </c>
      <c r="B419" s="4">
        <f t="shared" ca="1" si="48"/>
        <v>45179</v>
      </c>
      <c r="C419" s="4" t="str">
        <f t="shared" ca="1" si="51"/>
        <v>2023-09</v>
      </c>
      <c r="D419" s="5">
        <f t="shared" ca="1" si="49"/>
        <v>0.875</v>
      </c>
      <c r="E419" s="3" t="str" cm="1">
        <f t="array" aca="1" ref="E419" ca="1">INDEX(lista!$A$1:$A$12, RANDBETWEEN(1, 12))</f>
        <v>Cabitos</v>
      </c>
      <c r="F419" s="3" t="s">
        <v>24</v>
      </c>
      <c r="G419" s="3" t="str" cm="1">
        <f t="array" aca="1" ref="G419" ca="1">INDEX(lista!$B$1:$B$6, RANDBETWEEN(1, 6))</f>
        <v>Torniquete</v>
      </c>
      <c r="H419" s="3" t="str" cm="1">
        <f t="array" aca="1" ref="H419" ca="1">INDEX(lista!$C$1:$C$4, RANDBETWEEN(1, 4))</f>
        <v>Falla mecánica</v>
      </c>
      <c r="I419" s="3" t="str">
        <f t="shared" ca="1" si="52"/>
        <v>Baja</v>
      </c>
      <c r="J419" s="3" t="str">
        <f t="shared" ca="1" si="53"/>
        <v>Pendiente</v>
      </c>
      <c r="K419" s="4" t="str">
        <f t="shared" ca="1" si="54"/>
        <v/>
      </c>
      <c r="L419" s="1" t="str">
        <f t="shared" ca="1" si="55"/>
        <v/>
      </c>
      <c r="M419" s="3" t="str">
        <f t="shared" ca="1" si="56"/>
        <v>Telecomunicaciones</v>
      </c>
    </row>
    <row r="420" spans="1:13" x14ac:dyDescent="0.3">
      <c r="A420" s="3">
        <f t="shared" si="50"/>
        <v>419</v>
      </c>
      <c r="B420" s="4">
        <f t="shared" ca="1" si="48"/>
        <v>45451</v>
      </c>
      <c r="C420" s="4" t="str">
        <f t="shared" ca="1" si="51"/>
        <v>2024-06</v>
      </c>
      <c r="D420" s="5">
        <f t="shared" ca="1" si="49"/>
        <v>0.71458333333333335</v>
      </c>
      <c r="E420" s="3" t="str" cm="1">
        <f t="array" aca="1" ref="E420" ca="1">INDEX(lista!$A$1:$A$12, RANDBETWEEN(1, 12))</f>
        <v>Angamos</v>
      </c>
      <c r="F420" s="3" t="s">
        <v>24</v>
      </c>
      <c r="G420" s="3" t="str" cm="1">
        <f t="array" aca="1" ref="G420" ca="1">INDEX(lista!$B$1:$B$6, RANDBETWEEN(1, 6))</f>
        <v>Escalera eléctrica</v>
      </c>
      <c r="H420" s="3" t="str" cm="1">
        <f t="array" aca="1" ref="H420" ca="1">INDEX(lista!$C$1:$C$4, RANDBETWEEN(1, 4))</f>
        <v>Falla mecánica</v>
      </c>
      <c r="I420" s="3" t="str">
        <f t="shared" ca="1" si="52"/>
        <v>Media</v>
      </c>
      <c r="J420" s="3" t="str">
        <f t="shared" ca="1" si="53"/>
        <v>Atendida</v>
      </c>
      <c r="K420" s="4">
        <f t="shared" ca="1" si="54"/>
        <v>45451</v>
      </c>
      <c r="L420" s="1">
        <f t="shared" ca="1" si="55"/>
        <v>19</v>
      </c>
      <c r="M420" s="3" t="str">
        <f t="shared" ca="1" si="56"/>
        <v>Mantenimiento</v>
      </c>
    </row>
    <row r="421" spans="1:13" x14ac:dyDescent="0.3">
      <c r="A421" s="3">
        <f t="shared" si="50"/>
        <v>420</v>
      </c>
      <c r="B421" s="4">
        <f t="shared" ca="1" si="48"/>
        <v>45494</v>
      </c>
      <c r="C421" s="4" t="str">
        <f t="shared" ca="1" si="51"/>
        <v>2024-07</v>
      </c>
      <c r="D421" s="5">
        <f t="shared" ca="1" si="49"/>
        <v>0.71666666666666667</v>
      </c>
      <c r="E421" s="3" t="str" cm="1">
        <f t="array" aca="1" ref="E421" ca="1">INDEX(lista!$A$1:$A$12, RANDBETWEEN(1, 12))</f>
        <v>San Borja Sur</v>
      </c>
      <c r="F421" s="3" t="s">
        <v>24</v>
      </c>
      <c r="G421" s="3" t="str" cm="1">
        <f t="array" aca="1" ref="G421" ca="1">INDEX(lista!$B$1:$B$6, RANDBETWEEN(1, 6))</f>
        <v>Escalera eléctrica</v>
      </c>
      <c r="H421" s="3" t="str" cm="1">
        <f t="array" aca="1" ref="H421" ca="1">INDEX(lista!$C$1:$C$4, RANDBETWEEN(1, 4))</f>
        <v>Falla eléctrica</v>
      </c>
      <c r="I421" s="3" t="str">
        <f t="shared" ca="1" si="52"/>
        <v>Alta</v>
      </c>
      <c r="J421" s="3" t="str">
        <f t="shared" ca="1" si="53"/>
        <v>En curso</v>
      </c>
      <c r="K421" s="4" t="str">
        <f t="shared" ca="1" si="54"/>
        <v/>
      </c>
      <c r="L421" s="1" t="str">
        <f t="shared" ca="1" si="55"/>
        <v/>
      </c>
      <c r="M421" s="3" t="str">
        <f t="shared" ca="1" si="56"/>
        <v>Mantenimiento</v>
      </c>
    </row>
    <row r="422" spans="1:13" x14ac:dyDescent="0.3">
      <c r="A422" s="3">
        <f t="shared" si="50"/>
        <v>421</v>
      </c>
      <c r="B422" s="4">
        <f t="shared" ca="1" si="48"/>
        <v>45495</v>
      </c>
      <c r="C422" s="4" t="str">
        <f t="shared" ca="1" si="51"/>
        <v>2024-07</v>
      </c>
      <c r="D422" s="5">
        <f t="shared" ca="1" si="49"/>
        <v>0.16944444444444443</v>
      </c>
      <c r="E422" s="3" t="str" cm="1">
        <f t="array" aca="1" ref="E422" ca="1">INDEX(lista!$A$1:$A$12, RANDBETWEEN(1, 12))</f>
        <v>Villa El Salvador</v>
      </c>
      <c r="F422" s="3" t="s">
        <v>24</v>
      </c>
      <c r="G422" s="3" t="str" cm="1">
        <f t="array" aca="1" ref="G422" ca="1">INDEX(lista!$B$1:$B$6, RANDBETWEEN(1, 6))</f>
        <v>Radio</v>
      </c>
      <c r="H422" s="3" t="str" cm="1">
        <f t="array" aca="1" ref="H422" ca="1">INDEX(lista!$C$1:$C$4, RANDBETWEEN(1, 4))</f>
        <v>Mantenimiento preventivo</v>
      </c>
      <c r="I422" s="3" t="str">
        <f t="shared" ca="1" si="52"/>
        <v>Media</v>
      </c>
      <c r="J422" s="3" t="str">
        <f t="shared" ca="1" si="53"/>
        <v>Atendida</v>
      </c>
      <c r="K422" s="4">
        <f t="shared" ca="1" si="54"/>
        <v>45497</v>
      </c>
      <c r="L422" s="1">
        <f t="shared" ca="1" si="55"/>
        <v>18</v>
      </c>
      <c r="M422" s="3" t="str">
        <f t="shared" ca="1" si="56"/>
        <v>Telecomunicaciones</v>
      </c>
    </row>
    <row r="423" spans="1:13" x14ac:dyDescent="0.3">
      <c r="A423" s="3">
        <f t="shared" si="50"/>
        <v>422</v>
      </c>
      <c r="B423" s="4">
        <f t="shared" ca="1" si="48"/>
        <v>45546</v>
      </c>
      <c r="C423" s="4" t="str">
        <f t="shared" ca="1" si="51"/>
        <v>2024-09</v>
      </c>
      <c r="D423" s="5">
        <f t="shared" ca="1" si="49"/>
        <v>0.45763888888888893</v>
      </c>
      <c r="E423" s="3" t="str" cm="1">
        <f t="array" aca="1" ref="E423" ca="1">INDEX(lista!$A$1:$A$12, RANDBETWEEN(1, 12))</f>
        <v>Bayóvar</v>
      </c>
      <c r="F423" s="3" t="s">
        <v>24</v>
      </c>
      <c r="G423" s="3" t="str" cm="1">
        <f t="array" aca="1" ref="G423" ca="1">INDEX(lista!$B$1:$B$6, RANDBETWEEN(1, 6))</f>
        <v>TVM</v>
      </c>
      <c r="H423" s="3" t="str" cm="1">
        <f t="array" aca="1" ref="H423" ca="1">INDEX(lista!$C$1:$C$4, RANDBETWEEN(1, 4))</f>
        <v>Falla eléctrica</v>
      </c>
      <c r="I423" s="3" t="str">
        <f t="shared" ca="1" si="52"/>
        <v>Baja</v>
      </c>
      <c r="J423" s="3" t="str">
        <f t="shared" ca="1" si="53"/>
        <v>En curso</v>
      </c>
      <c r="K423" s="4" t="str">
        <f t="shared" ca="1" si="54"/>
        <v/>
      </c>
      <c r="L423" s="1" t="str">
        <f t="shared" ca="1" si="55"/>
        <v/>
      </c>
      <c r="M423" s="3" t="str">
        <f t="shared" ca="1" si="56"/>
        <v>Telecomunicaciones</v>
      </c>
    </row>
    <row r="424" spans="1:13" x14ac:dyDescent="0.3">
      <c r="A424" s="3">
        <f t="shared" si="50"/>
        <v>423</v>
      </c>
      <c r="B424" s="4">
        <f t="shared" ca="1" si="48"/>
        <v>45009</v>
      </c>
      <c r="C424" s="4" t="str">
        <f t="shared" ca="1" si="51"/>
        <v>2023-03</v>
      </c>
      <c r="D424" s="5">
        <f t="shared" ca="1" si="49"/>
        <v>0.10347222222222222</v>
      </c>
      <c r="E424" s="3" t="str" cm="1">
        <f t="array" aca="1" ref="E424" ca="1">INDEX(lista!$A$1:$A$12, RANDBETWEEN(1, 12))</f>
        <v>La Cultura</v>
      </c>
      <c r="F424" s="3" t="s">
        <v>24</v>
      </c>
      <c r="G424" s="3" t="str" cm="1">
        <f t="array" aca="1" ref="G424" ca="1">INDEX(lista!$B$1:$B$6, RANDBETWEEN(1, 6))</f>
        <v>Radio</v>
      </c>
      <c r="H424" s="3" t="str" cm="1">
        <f t="array" aca="1" ref="H424" ca="1">INDEX(lista!$C$1:$C$4, RANDBETWEEN(1, 4))</f>
        <v>Falla mecánica</v>
      </c>
      <c r="I424" s="3" t="str">
        <f t="shared" ca="1" si="52"/>
        <v>Baja</v>
      </c>
      <c r="J424" s="3" t="str">
        <f t="shared" ca="1" si="53"/>
        <v>Atendida</v>
      </c>
      <c r="K424" s="4">
        <f t="shared" ca="1" si="54"/>
        <v>45010</v>
      </c>
      <c r="L424" s="1">
        <f t="shared" ca="1" si="55"/>
        <v>11</v>
      </c>
      <c r="M424" s="3" t="str">
        <f t="shared" ca="1" si="56"/>
        <v>Telecomunicaciones</v>
      </c>
    </row>
    <row r="425" spans="1:13" x14ac:dyDescent="0.3">
      <c r="A425" s="3">
        <f t="shared" si="50"/>
        <v>424</v>
      </c>
      <c r="B425" s="4">
        <f t="shared" ca="1" si="48"/>
        <v>45296</v>
      </c>
      <c r="C425" s="4" t="str">
        <f t="shared" ca="1" si="51"/>
        <v>2024-01</v>
      </c>
      <c r="D425" s="5">
        <f t="shared" ca="1" si="49"/>
        <v>0.67847222222222214</v>
      </c>
      <c r="E425" s="3" t="str" cm="1">
        <f t="array" aca="1" ref="E425" ca="1">INDEX(lista!$A$1:$A$12, RANDBETWEEN(1, 12))</f>
        <v>Angamos</v>
      </c>
      <c r="F425" s="3" t="s">
        <v>24</v>
      </c>
      <c r="G425" s="3" t="str" cm="1">
        <f t="array" aca="1" ref="G425" ca="1">INDEX(lista!$B$1:$B$6, RANDBETWEEN(1, 6))</f>
        <v>Radio</v>
      </c>
      <c r="H425" s="3" t="str" cm="1">
        <f t="array" aca="1" ref="H425" ca="1">INDEX(lista!$C$1:$C$4, RANDBETWEEN(1, 4))</f>
        <v>Daño en infraestructura</v>
      </c>
      <c r="I425" s="3" t="str">
        <f t="shared" ca="1" si="52"/>
        <v>Media</v>
      </c>
      <c r="J425" s="3" t="str">
        <f t="shared" ca="1" si="53"/>
        <v>En curso</v>
      </c>
      <c r="K425" s="4" t="str">
        <f t="shared" ca="1" si="54"/>
        <v/>
      </c>
      <c r="L425" s="1" t="str">
        <f t="shared" ca="1" si="55"/>
        <v/>
      </c>
      <c r="M425" s="3" t="str">
        <f t="shared" ca="1" si="56"/>
        <v>Telecomunicaciones</v>
      </c>
    </row>
    <row r="426" spans="1:13" x14ac:dyDescent="0.3">
      <c r="A426" s="3">
        <f t="shared" si="50"/>
        <v>425</v>
      </c>
      <c r="B426" s="4">
        <f t="shared" ca="1" si="48"/>
        <v>45544</v>
      </c>
      <c r="C426" s="4" t="str">
        <f t="shared" ca="1" si="51"/>
        <v>2024-09</v>
      </c>
      <c r="D426" s="5">
        <f t="shared" ca="1" si="49"/>
        <v>0.38194444444444442</v>
      </c>
      <c r="E426" s="3" t="str" cm="1">
        <f t="array" aca="1" ref="E426" ca="1">INDEX(lista!$A$1:$A$12, RANDBETWEEN(1, 12))</f>
        <v>Angamos</v>
      </c>
      <c r="F426" s="3" t="s">
        <v>24</v>
      </c>
      <c r="G426" s="3" t="str" cm="1">
        <f t="array" aca="1" ref="G426" ca="1">INDEX(lista!$B$1:$B$6, RANDBETWEEN(1, 6))</f>
        <v>Torniquete</v>
      </c>
      <c r="H426" s="3" t="str" cm="1">
        <f t="array" aca="1" ref="H426" ca="1">INDEX(lista!$C$1:$C$4, RANDBETWEEN(1, 4))</f>
        <v>Daño en infraestructura</v>
      </c>
      <c r="I426" s="3" t="str">
        <f t="shared" ca="1" si="52"/>
        <v>Media</v>
      </c>
      <c r="J426" s="3" t="str">
        <f t="shared" ca="1" si="53"/>
        <v>Atendida</v>
      </c>
      <c r="K426" s="4">
        <f t="shared" ca="1" si="54"/>
        <v>45546</v>
      </c>
      <c r="L426" s="1">
        <f t="shared" ca="1" si="55"/>
        <v>24</v>
      </c>
      <c r="M426" s="3" t="str">
        <f t="shared" ca="1" si="56"/>
        <v>Telecomunicaciones</v>
      </c>
    </row>
    <row r="427" spans="1:13" x14ac:dyDescent="0.3">
      <c r="A427" s="3">
        <f t="shared" si="50"/>
        <v>426</v>
      </c>
      <c r="B427" s="4">
        <f t="shared" ca="1" si="48"/>
        <v>44935</v>
      </c>
      <c r="C427" s="4" t="str">
        <f t="shared" ca="1" si="51"/>
        <v>2023-01</v>
      </c>
      <c r="D427" s="5">
        <f t="shared" ca="1" si="49"/>
        <v>0.4770833333333333</v>
      </c>
      <c r="E427" s="3" t="str" cm="1">
        <f t="array" aca="1" ref="E427" ca="1">INDEX(lista!$A$1:$A$12, RANDBETWEEN(1, 12))</f>
        <v>Angamos</v>
      </c>
      <c r="F427" s="3" t="s">
        <v>24</v>
      </c>
      <c r="G427" s="3" t="str" cm="1">
        <f t="array" aca="1" ref="G427" ca="1">INDEX(lista!$B$1:$B$6, RANDBETWEEN(1, 6))</f>
        <v>Radio</v>
      </c>
      <c r="H427" s="3" t="str" cm="1">
        <f t="array" aca="1" ref="H427" ca="1">INDEX(lista!$C$1:$C$4, RANDBETWEEN(1, 4))</f>
        <v>Mantenimiento preventivo</v>
      </c>
      <c r="I427" s="3" t="str">
        <f t="shared" ca="1" si="52"/>
        <v>Media</v>
      </c>
      <c r="J427" s="3" t="str">
        <f t="shared" ca="1" si="53"/>
        <v>Atendida</v>
      </c>
      <c r="K427" s="4">
        <f t="shared" ca="1" si="54"/>
        <v>44936</v>
      </c>
      <c r="L427" s="1">
        <f t="shared" ca="1" si="55"/>
        <v>16</v>
      </c>
      <c r="M427" s="3" t="str">
        <f t="shared" ca="1" si="56"/>
        <v>Telecomunicaciones</v>
      </c>
    </row>
    <row r="428" spans="1:13" x14ac:dyDescent="0.3">
      <c r="A428" s="3">
        <f t="shared" si="50"/>
        <v>427</v>
      </c>
      <c r="B428" s="4">
        <f t="shared" ca="1" si="48"/>
        <v>44955</v>
      </c>
      <c r="C428" s="4" t="str">
        <f t="shared" ca="1" si="51"/>
        <v>2023-01</v>
      </c>
      <c r="D428" s="5">
        <f t="shared" ca="1" si="49"/>
        <v>0.12916666666666668</v>
      </c>
      <c r="E428" s="3" t="str" cm="1">
        <f t="array" aca="1" ref="E428" ca="1">INDEX(lista!$A$1:$A$12, RANDBETWEEN(1, 12))</f>
        <v>San Borja Sur</v>
      </c>
      <c r="F428" s="3" t="s">
        <v>24</v>
      </c>
      <c r="G428" s="3" t="str" cm="1">
        <f t="array" aca="1" ref="G428" ca="1">INDEX(lista!$B$1:$B$6, RANDBETWEEN(1, 6))</f>
        <v>Escalera eléctrica</v>
      </c>
      <c r="H428" s="3" t="str" cm="1">
        <f t="array" aca="1" ref="H428" ca="1">INDEX(lista!$C$1:$C$4, RANDBETWEEN(1, 4))</f>
        <v>Mantenimiento preventivo</v>
      </c>
      <c r="I428" s="3" t="str">
        <f t="shared" ca="1" si="52"/>
        <v>Baja</v>
      </c>
      <c r="J428" s="3" t="str">
        <f t="shared" ca="1" si="53"/>
        <v>En curso</v>
      </c>
      <c r="K428" s="4" t="str">
        <f t="shared" ca="1" si="54"/>
        <v/>
      </c>
      <c r="L428" s="1" t="str">
        <f t="shared" ca="1" si="55"/>
        <v/>
      </c>
      <c r="M428" s="3" t="str">
        <f t="shared" ca="1" si="56"/>
        <v>Mantenimiento</v>
      </c>
    </row>
    <row r="429" spans="1:13" x14ac:dyDescent="0.3">
      <c r="A429" s="3">
        <f t="shared" si="50"/>
        <v>428</v>
      </c>
      <c r="B429" s="4">
        <f t="shared" ca="1" si="48"/>
        <v>45639</v>
      </c>
      <c r="C429" s="4" t="str">
        <f t="shared" ca="1" si="51"/>
        <v>2024-12</v>
      </c>
      <c r="D429" s="5">
        <f t="shared" ca="1" si="49"/>
        <v>0.66666666666666663</v>
      </c>
      <c r="E429" s="3" t="str" cm="1">
        <f t="array" aca="1" ref="E429" ca="1">INDEX(lista!$A$1:$A$12, RANDBETWEEN(1, 12))</f>
        <v>Villa El Salvador</v>
      </c>
      <c r="F429" s="3" t="s">
        <v>24</v>
      </c>
      <c r="G429" s="3" t="str" cm="1">
        <f t="array" aca="1" ref="G429" ca="1">INDEX(lista!$B$1:$B$6, RANDBETWEEN(1, 6))</f>
        <v>MET</v>
      </c>
      <c r="H429" s="3" t="str" cm="1">
        <f t="array" aca="1" ref="H429" ca="1">INDEX(lista!$C$1:$C$4, RANDBETWEEN(1, 4))</f>
        <v>Daño en infraestructura</v>
      </c>
      <c r="I429" s="3" t="str">
        <f t="shared" ca="1" si="52"/>
        <v>Baja</v>
      </c>
      <c r="J429" s="3" t="str">
        <f t="shared" ca="1" si="53"/>
        <v>Atendida</v>
      </c>
      <c r="K429" s="4">
        <f t="shared" ca="1" si="54"/>
        <v>45639</v>
      </c>
      <c r="L429" s="1">
        <f t="shared" ca="1" si="55"/>
        <v>11</v>
      </c>
      <c r="M429" s="3" t="str">
        <f t="shared" ca="1" si="56"/>
        <v>Telecomunicaciones</v>
      </c>
    </row>
    <row r="430" spans="1:13" x14ac:dyDescent="0.3">
      <c r="A430" s="3">
        <f t="shared" si="50"/>
        <v>429</v>
      </c>
      <c r="B430" s="4">
        <f t="shared" ca="1" si="48"/>
        <v>45036</v>
      </c>
      <c r="C430" s="4" t="str">
        <f t="shared" ca="1" si="51"/>
        <v>2023-04</v>
      </c>
      <c r="D430" s="5">
        <f t="shared" ca="1" si="49"/>
        <v>0.96388888888888891</v>
      </c>
      <c r="E430" s="3" t="str" cm="1">
        <f t="array" aca="1" ref="E430" ca="1">INDEX(lista!$A$1:$A$12, RANDBETWEEN(1, 12))</f>
        <v>Angamos</v>
      </c>
      <c r="F430" s="3" t="s">
        <v>24</v>
      </c>
      <c r="G430" s="3" t="str" cm="1">
        <f t="array" aca="1" ref="G430" ca="1">INDEX(lista!$B$1:$B$6, RANDBETWEEN(1, 6))</f>
        <v>Escalera eléctrica</v>
      </c>
      <c r="H430" s="3" t="str" cm="1">
        <f t="array" aca="1" ref="H430" ca="1">INDEX(lista!$C$1:$C$4, RANDBETWEEN(1, 4))</f>
        <v>Mantenimiento preventivo</v>
      </c>
      <c r="I430" s="3" t="str">
        <f t="shared" ca="1" si="52"/>
        <v>Alta</v>
      </c>
      <c r="J430" s="3" t="str">
        <f t="shared" ca="1" si="53"/>
        <v>Atendida</v>
      </c>
      <c r="K430" s="4">
        <f t="shared" ca="1" si="54"/>
        <v>45037</v>
      </c>
      <c r="L430" s="1">
        <f t="shared" ca="1" si="55"/>
        <v>15</v>
      </c>
      <c r="M430" s="3" t="str">
        <f t="shared" ca="1" si="56"/>
        <v>Mantenimiento</v>
      </c>
    </row>
    <row r="431" spans="1:13" x14ac:dyDescent="0.3">
      <c r="A431" s="3">
        <f t="shared" si="50"/>
        <v>430</v>
      </c>
      <c r="B431" s="4">
        <f t="shared" ca="1" si="48"/>
        <v>45156</v>
      </c>
      <c r="C431" s="4" t="str">
        <f t="shared" ca="1" si="51"/>
        <v>2023-08</v>
      </c>
      <c r="D431" s="5">
        <f t="shared" ca="1" si="49"/>
        <v>0.67569444444444438</v>
      </c>
      <c r="E431" s="3" t="str" cm="1">
        <f t="array" aca="1" ref="E431" ca="1">INDEX(lista!$A$1:$A$12, RANDBETWEEN(1, 12))</f>
        <v>Cabitos</v>
      </c>
      <c r="F431" s="3" t="s">
        <v>24</v>
      </c>
      <c r="G431" s="3" t="str" cm="1">
        <f t="array" aca="1" ref="G431" ca="1">INDEX(lista!$B$1:$B$6, RANDBETWEEN(1, 6))</f>
        <v>Radio</v>
      </c>
      <c r="H431" s="3" t="str" cm="1">
        <f t="array" aca="1" ref="H431" ca="1">INDEX(lista!$C$1:$C$4, RANDBETWEEN(1, 4))</f>
        <v>Daño en infraestructura</v>
      </c>
      <c r="I431" s="3" t="str">
        <f t="shared" ca="1" si="52"/>
        <v>Media</v>
      </c>
      <c r="J431" s="3" t="str">
        <f t="shared" ca="1" si="53"/>
        <v>Pendiente</v>
      </c>
      <c r="K431" s="4" t="str">
        <f t="shared" ca="1" si="54"/>
        <v/>
      </c>
      <c r="L431" s="1" t="str">
        <f t="shared" ca="1" si="55"/>
        <v/>
      </c>
      <c r="M431" s="3" t="str">
        <f t="shared" ca="1" si="56"/>
        <v>Telecomunicaciones</v>
      </c>
    </row>
    <row r="432" spans="1:13" x14ac:dyDescent="0.3">
      <c r="A432" s="3">
        <f t="shared" si="50"/>
        <v>431</v>
      </c>
      <c r="B432" s="4">
        <f t="shared" ca="1" si="48"/>
        <v>45157</v>
      </c>
      <c r="C432" s="4" t="str">
        <f t="shared" ca="1" si="51"/>
        <v>2023-08</v>
      </c>
      <c r="D432" s="5">
        <f t="shared" ca="1" si="49"/>
        <v>3.8194444444444448E-2</v>
      </c>
      <c r="E432" s="3" t="str" cm="1">
        <f t="array" aca="1" ref="E432" ca="1">INDEX(lista!$A$1:$A$12, RANDBETWEEN(1, 12))</f>
        <v>Atocongo</v>
      </c>
      <c r="F432" s="3" t="s">
        <v>24</v>
      </c>
      <c r="G432" s="3" t="str" cm="1">
        <f t="array" aca="1" ref="G432" ca="1">INDEX(lista!$B$1:$B$6, RANDBETWEEN(1, 6))</f>
        <v>Ascensor</v>
      </c>
      <c r="H432" s="3" t="str" cm="1">
        <f t="array" aca="1" ref="H432" ca="1">INDEX(lista!$C$1:$C$4, RANDBETWEEN(1, 4))</f>
        <v>Falla mecánica</v>
      </c>
      <c r="I432" s="3" t="str">
        <f t="shared" ca="1" si="52"/>
        <v>Baja</v>
      </c>
      <c r="J432" s="3" t="str">
        <f t="shared" ca="1" si="53"/>
        <v>Pendiente</v>
      </c>
      <c r="K432" s="4" t="str">
        <f t="shared" ca="1" si="54"/>
        <v/>
      </c>
      <c r="L432" s="1" t="str">
        <f t="shared" ca="1" si="55"/>
        <v/>
      </c>
      <c r="M432" s="3" t="str">
        <f t="shared" ca="1" si="56"/>
        <v>Mantenimiento</v>
      </c>
    </row>
    <row r="433" spans="1:13" x14ac:dyDescent="0.3">
      <c r="A433" s="3">
        <f t="shared" si="50"/>
        <v>432</v>
      </c>
      <c r="B433" s="4">
        <f t="shared" ca="1" si="48"/>
        <v>45275</v>
      </c>
      <c r="C433" s="4" t="str">
        <f t="shared" ca="1" si="51"/>
        <v>2023-12</v>
      </c>
      <c r="D433" s="5">
        <f t="shared" ca="1" si="49"/>
        <v>0.63055555555555554</v>
      </c>
      <c r="E433" s="3" t="str" cm="1">
        <f t="array" aca="1" ref="E433" ca="1">INDEX(lista!$A$1:$A$12, RANDBETWEEN(1, 12))</f>
        <v>San Borja Sur</v>
      </c>
      <c r="F433" s="3" t="s">
        <v>24</v>
      </c>
      <c r="G433" s="3" t="str" cm="1">
        <f t="array" aca="1" ref="G433" ca="1">INDEX(lista!$B$1:$B$6, RANDBETWEEN(1, 6))</f>
        <v>TVM</v>
      </c>
      <c r="H433" s="3" t="str" cm="1">
        <f t="array" aca="1" ref="H433" ca="1">INDEX(lista!$C$1:$C$4, RANDBETWEEN(1, 4))</f>
        <v>Falla eléctrica</v>
      </c>
      <c r="I433" s="3" t="str">
        <f t="shared" ca="1" si="52"/>
        <v>Baja</v>
      </c>
      <c r="J433" s="3" t="str">
        <f t="shared" ca="1" si="53"/>
        <v>Atendida</v>
      </c>
      <c r="K433" s="4">
        <f t="shared" ca="1" si="54"/>
        <v>45275</v>
      </c>
      <c r="L433" s="1">
        <f t="shared" ca="1" si="55"/>
        <v>17</v>
      </c>
      <c r="M433" s="3" t="str">
        <f t="shared" ca="1" si="56"/>
        <v>Telecomunicaciones</v>
      </c>
    </row>
    <row r="434" spans="1:13" x14ac:dyDescent="0.3">
      <c r="A434" s="3">
        <f t="shared" si="50"/>
        <v>433</v>
      </c>
      <c r="B434" s="4">
        <f t="shared" ca="1" si="48"/>
        <v>44983</v>
      </c>
      <c r="C434" s="4" t="str">
        <f t="shared" ca="1" si="51"/>
        <v>2023-02</v>
      </c>
      <c r="D434" s="5">
        <f t="shared" ca="1" si="49"/>
        <v>0.34236111111111112</v>
      </c>
      <c r="E434" s="3" t="str" cm="1">
        <f t="array" aca="1" ref="E434" ca="1">INDEX(lista!$A$1:$A$12, RANDBETWEEN(1, 12))</f>
        <v>Gamarra</v>
      </c>
      <c r="F434" s="3" t="s">
        <v>24</v>
      </c>
      <c r="G434" s="3" t="str" cm="1">
        <f t="array" aca="1" ref="G434" ca="1">INDEX(lista!$B$1:$B$6, RANDBETWEEN(1, 6))</f>
        <v>Torniquete</v>
      </c>
      <c r="H434" s="3" t="str" cm="1">
        <f t="array" aca="1" ref="H434" ca="1">INDEX(lista!$C$1:$C$4, RANDBETWEEN(1, 4))</f>
        <v>Falla mecánica</v>
      </c>
      <c r="I434" s="3" t="str">
        <f t="shared" ca="1" si="52"/>
        <v>Alta</v>
      </c>
      <c r="J434" s="3" t="str">
        <f t="shared" ca="1" si="53"/>
        <v>Atendida</v>
      </c>
      <c r="K434" s="4">
        <f t="shared" ca="1" si="54"/>
        <v>44983</v>
      </c>
      <c r="L434" s="1">
        <f t="shared" ca="1" si="55"/>
        <v>14</v>
      </c>
      <c r="M434" s="3" t="str">
        <f t="shared" ca="1" si="56"/>
        <v>Telecomunicaciones</v>
      </c>
    </row>
    <row r="435" spans="1:13" x14ac:dyDescent="0.3">
      <c r="A435" s="3">
        <f t="shared" si="50"/>
        <v>434</v>
      </c>
      <c r="B435" s="4">
        <f t="shared" ca="1" si="48"/>
        <v>45146</v>
      </c>
      <c r="C435" s="4" t="str">
        <f t="shared" ca="1" si="51"/>
        <v>2023-08</v>
      </c>
      <c r="D435" s="5">
        <f t="shared" ca="1" si="49"/>
        <v>0.82638888888888884</v>
      </c>
      <c r="E435" s="3" t="str" cm="1">
        <f t="array" aca="1" ref="E435" ca="1">INDEX(lista!$A$1:$A$12, RANDBETWEEN(1, 12))</f>
        <v>Atocongo</v>
      </c>
      <c r="F435" s="3" t="s">
        <v>24</v>
      </c>
      <c r="G435" s="3" t="str" cm="1">
        <f t="array" aca="1" ref="G435" ca="1">INDEX(lista!$B$1:$B$6, RANDBETWEEN(1, 6))</f>
        <v>MET</v>
      </c>
      <c r="H435" s="3" t="str" cm="1">
        <f t="array" aca="1" ref="H435" ca="1">INDEX(lista!$C$1:$C$4, RANDBETWEEN(1, 4))</f>
        <v>Daño en infraestructura</v>
      </c>
      <c r="I435" s="3" t="str">
        <f t="shared" ca="1" si="52"/>
        <v>Baja</v>
      </c>
      <c r="J435" s="3" t="str">
        <f t="shared" ca="1" si="53"/>
        <v>En curso</v>
      </c>
      <c r="K435" s="4" t="str">
        <f t="shared" ca="1" si="54"/>
        <v/>
      </c>
      <c r="L435" s="1" t="str">
        <f t="shared" ca="1" si="55"/>
        <v/>
      </c>
      <c r="M435" s="3" t="str">
        <f t="shared" ca="1" si="56"/>
        <v>Telecomunicaciones</v>
      </c>
    </row>
    <row r="436" spans="1:13" x14ac:dyDescent="0.3">
      <c r="A436" s="3">
        <f t="shared" si="50"/>
        <v>435</v>
      </c>
      <c r="B436" s="4">
        <f t="shared" ca="1" si="48"/>
        <v>45213</v>
      </c>
      <c r="C436" s="4" t="str">
        <f t="shared" ca="1" si="51"/>
        <v>2023-10</v>
      </c>
      <c r="D436" s="5">
        <f t="shared" ca="1" si="49"/>
        <v>0.55555555555555547</v>
      </c>
      <c r="E436" s="3" t="str" cm="1">
        <f t="array" aca="1" ref="E436" ca="1">INDEX(lista!$A$1:$A$12, RANDBETWEEN(1, 12))</f>
        <v>Villa El Salvador</v>
      </c>
      <c r="F436" s="3" t="s">
        <v>24</v>
      </c>
      <c r="G436" s="3" t="str" cm="1">
        <f t="array" aca="1" ref="G436" ca="1">INDEX(lista!$B$1:$B$6, RANDBETWEEN(1, 6))</f>
        <v>MET</v>
      </c>
      <c r="H436" s="3" t="str" cm="1">
        <f t="array" aca="1" ref="H436" ca="1">INDEX(lista!$C$1:$C$4, RANDBETWEEN(1, 4))</f>
        <v>Falla mecánica</v>
      </c>
      <c r="I436" s="3" t="str">
        <f t="shared" ca="1" si="52"/>
        <v>Media</v>
      </c>
      <c r="J436" s="3" t="str">
        <f t="shared" ca="1" si="53"/>
        <v>En curso</v>
      </c>
      <c r="K436" s="4" t="str">
        <f t="shared" ca="1" si="54"/>
        <v/>
      </c>
      <c r="L436" s="1" t="str">
        <f t="shared" ca="1" si="55"/>
        <v/>
      </c>
      <c r="M436" s="3" t="str">
        <f t="shared" ca="1" si="56"/>
        <v>Telecomunicaciones</v>
      </c>
    </row>
    <row r="437" spans="1:13" x14ac:dyDescent="0.3">
      <c r="A437" s="3">
        <f t="shared" si="50"/>
        <v>436</v>
      </c>
      <c r="B437" s="4">
        <f t="shared" ca="1" si="48"/>
        <v>44950</v>
      </c>
      <c r="C437" s="4" t="str">
        <f t="shared" ca="1" si="51"/>
        <v>2023-01</v>
      </c>
      <c r="D437" s="5">
        <f t="shared" ca="1" si="49"/>
        <v>0.9375</v>
      </c>
      <c r="E437" s="3" t="str" cm="1">
        <f t="array" aca="1" ref="E437" ca="1">INDEX(lista!$A$1:$A$12, RANDBETWEEN(1, 12))</f>
        <v>San Borja Sur</v>
      </c>
      <c r="F437" s="3" t="s">
        <v>24</v>
      </c>
      <c r="G437" s="3" t="str" cm="1">
        <f t="array" aca="1" ref="G437" ca="1">INDEX(lista!$B$1:$B$6, RANDBETWEEN(1, 6))</f>
        <v>TVM</v>
      </c>
      <c r="H437" s="3" t="str" cm="1">
        <f t="array" aca="1" ref="H437" ca="1">INDEX(lista!$C$1:$C$4, RANDBETWEEN(1, 4))</f>
        <v>Falla eléctrica</v>
      </c>
      <c r="I437" s="3" t="str">
        <f t="shared" ca="1" si="52"/>
        <v>Alta</v>
      </c>
      <c r="J437" s="3" t="str">
        <f t="shared" ca="1" si="53"/>
        <v>En curso</v>
      </c>
      <c r="K437" s="4" t="str">
        <f t="shared" ca="1" si="54"/>
        <v/>
      </c>
      <c r="L437" s="1" t="str">
        <f t="shared" ca="1" si="55"/>
        <v/>
      </c>
      <c r="M437" s="3" t="str">
        <f t="shared" ca="1" si="56"/>
        <v>Telecomunicaciones</v>
      </c>
    </row>
    <row r="438" spans="1:13" x14ac:dyDescent="0.3">
      <c r="A438" s="3">
        <f t="shared" si="50"/>
        <v>437</v>
      </c>
      <c r="B438" s="4">
        <f t="shared" ca="1" si="48"/>
        <v>44948</v>
      </c>
      <c r="C438" s="4" t="str">
        <f t="shared" ca="1" si="51"/>
        <v>2023-01</v>
      </c>
      <c r="D438" s="5">
        <f t="shared" ca="1" si="49"/>
        <v>0.25486111111111109</v>
      </c>
      <c r="E438" s="3" t="str" cm="1">
        <f t="array" aca="1" ref="E438" ca="1">INDEX(lista!$A$1:$A$12, RANDBETWEEN(1, 12))</f>
        <v>San Borja Sur</v>
      </c>
      <c r="F438" s="3" t="s">
        <v>24</v>
      </c>
      <c r="G438" s="3" t="str" cm="1">
        <f t="array" aca="1" ref="G438" ca="1">INDEX(lista!$B$1:$B$6, RANDBETWEEN(1, 6))</f>
        <v>Escalera eléctrica</v>
      </c>
      <c r="H438" s="3" t="str" cm="1">
        <f t="array" aca="1" ref="H438" ca="1">INDEX(lista!$C$1:$C$4, RANDBETWEEN(1, 4))</f>
        <v>Falla mecánica</v>
      </c>
      <c r="I438" s="3" t="str">
        <f t="shared" ca="1" si="52"/>
        <v>Baja</v>
      </c>
      <c r="J438" s="3" t="str">
        <f t="shared" ca="1" si="53"/>
        <v>Atendida</v>
      </c>
      <c r="K438" s="4">
        <f t="shared" ca="1" si="54"/>
        <v>44948</v>
      </c>
      <c r="L438" s="1">
        <f t="shared" ca="1" si="55"/>
        <v>16</v>
      </c>
      <c r="M438" s="3" t="str">
        <f t="shared" ca="1" si="56"/>
        <v>Mantenimiento</v>
      </c>
    </row>
    <row r="439" spans="1:13" x14ac:dyDescent="0.3">
      <c r="A439" s="3">
        <f t="shared" si="50"/>
        <v>438</v>
      </c>
      <c r="B439" s="4">
        <f t="shared" ca="1" si="48"/>
        <v>45533</v>
      </c>
      <c r="C439" s="4" t="str">
        <f t="shared" ca="1" si="51"/>
        <v>2024-08</v>
      </c>
      <c r="D439" s="5">
        <f t="shared" ca="1" si="49"/>
        <v>0.20763888888888887</v>
      </c>
      <c r="E439" s="3" t="str" cm="1">
        <f t="array" aca="1" ref="E439" ca="1">INDEX(lista!$A$1:$A$12, RANDBETWEEN(1, 12))</f>
        <v>Cabitos</v>
      </c>
      <c r="F439" s="3" t="s">
        <v>24</v>
      </c>
      <c r="G439" s="3" t="str" cm="1">
        <f t="array" aca="1" ref="G439" ca="1">INDEX(lista!$B$1:$B$6, RANDBETWEEN(1, 6))</f>
        <v>Ascensor</v>
      </c>
      <c r="H439" s="3" t="str" cm="1">
        <f t="array" aca="1" ref="H439" ca="1">INDEX(lista!$C$1:$C$4, RANDBETWEEN(1, 4))</f>
        <v>Daño en infraestructura</v>
      </c>
      <c r="I439" s="3" t="str">
        <f t="shared" ca="1" si="52"/>
        <v>Baja</v>
      </c>
      <c r="J439" s="3" t="str">
        <f t="shared" ca="1" si="53"/>
        <v>Atendida</v>
      </c>
      <c r="K439" s="4">
        <f t="shared" ca="1" si="54"/>
        <v>45534</v>
      </c>
      <c r="L439" s="1">
        <f t="shared" ca="1" si="55"/>
        <v>10</v>
      </c>
      <c r="M439" s="3" t="str">
        <f t="shared" ca="1" si="56"/>
        <v>Mantenimiento</v>
      </c>
    </row>
    <row r="440" spans="1:13" x14ac:dyDescent="0.3">
      <c r="A440" s="3">
        <f t="shared" si="50"/>
        <v>439</v>
      </c>
      <c r="B440" s="4">
        <f t="shared" ca="1" si="48"/>
        <v>45539</v>
      </c>
      <c r="C440" s="4" t="str">
        <f t="shared" ca="1" si="51"/>
        <v>2024-09</v>
      </c>
      <c r="D440" s="5">
        <f t="shared" ca="1" si="49"/>
        <v>0.1361111111111111</v>
      </c>
      <c r="E440" s="3" t="str" cm="1">
        <f t="array" aca="1" ref="E440" ca="1">INDEX(lista!$A$1:$A$12, RANDBETWEEN(1, 12))</f>
        <v>La Cultura</v>
      </c>
      <c r="F440" s="3" t="s">
        <v>24</v>
      </c>
      <c r="G440" s="3" t="str" cm="1">
        <f t="array" aca="1" ref="G440" ca="1">INDEX(lista!$B$1:$B$6, RANDBETWEEN(1, 6))</f>
        <v>TVM</v>
      </c>
      <c r="H440" s="3" t="str" cm="1">
        <f t="array" aca="1" ref="H440" ca="1">INDEX(lista!$C$1:$C$4, RANDBETWEEN(1, 4))</f>
        <v>Daño en infraestructura</v>
      </c>
      <c r="I440" s="3" t="str">
        <f t="shared" ca="1" si="52"/>
        <v>Media</v>
      </c>
      <c r="J440" s="3" t="str">
        <f t="shared" ca="1" si="53"/>
        <v>En curso</v>
      </c>
      <c r="K440" s="4" t="str">
        <f t="shared" ca="1" si="54"/>
        <v/>
      </c>
      <c r="L440" s="1" t="str">
        <f t="shared" ca="1" si="55"/>
        <v/>
      </c>
      <c r="M440" s="3" t="str">
        <f t="shared" ca="1" si="56"/>
        <v>Telecomunicaciones</v>
      </c>
    </row>
    <row r="441" spans="1:13" x14ac:dyDescent="0.3">
      <c r="A441" s="3">
        <f t="shared" si="50"/>
        <v>440</v>
      </c>
      <c r="B441" s="4">
        <f t="shared" ca="1" si="48"/>
        <v>45507</v>
      </c>
      <c r="C441" s="4" t="str">
        <f t="shared" ca="1" si="51"/>
        <v>2024-08</v>
      </c>
      <c r="D441" s="5">
        <f t="shared" ca="1" si="49"/>
        <v>0.21944444444444444</v>
      </c>
      <c r="E441" s="3" t="str" cm="1">
        <f t="array" aca="1" ref="E441" ca="1">INDEX(lista!$A$1:$A$12, RANDBETWEEN(1, 12))</f>
        <v>Cabitos</v>
      </c>
      <c r="F441" s="3" t="s">
        <v>24</v>
      </c>
      <c r="G441" s="3" t="str" cm="1">
        <f t="array" aca="1" ref="G441" ca="1">INDEX(lista!$B$1:$B$6, RANDBETWEEN(1, 6))</f>
        <v>Radio</v>
      </c>
      <c r="H441" s="3" t="str" cm="1">
        <f t="array" aca="1" ref="H441" ca="1">INDEX(lista!$C$1:$C$4, RANDBETWEEN(1, 4))</f>
        <v>Mantenimiento preventivo</v>
      </c>
      <c r="I441" s="3" t="str">
        <f t="shared" ca="1" si="52"/>
        <v>Media</v>
      </c>
      <c r="J441" s="3" t="str">
        <f t="shared" ca="1" si="53"/>
        <v>En curso</v>
      </c>
      <c r="K441" s="4" t="str">
        <f t="shared" ca="1" si="54"/>
        <v/>
      </c>
      <c r="L441" s="1" t="str">
        <f t="shared" ca="1" si="55"/>
        <v/>
      </c>
      <c r="M441" s="3" t="str">
        <f t="shared" ca="1" si="56"/>
        <v>Telecomunicaciones</v>
      </c>
    </row>
    <row r="442" spans="1:13" x14ac:dyDescent="0.3">
      <c r="A442" s="3">
        <f t="shared" si="50"/>
        <v>441</v>
      </c>
      <c r="B442" s="4">
        <f t="shared" ca="1" si="48"/>
        <v>45621</v>
      </c>
      <c r="C442" s="4" t="str">
        <f t="shared" ca="1" si="51"/>
        <v>2024-11</v>
      </c>
      <c r="D442" s="5">
        <f t="shared" ca="1" si="49"/>
        <v>3.6805555555555557E-2</v>
      </c>
      <c r="E442" s="3" t="str" cm="1">
        <f t="array" aca="1" ref="E442" ca="1">INDEX(lista!$A$1:$A$12, RANDBETWEEN(1, 12))</f>
        <v>La Cultura</v>
      </c>
      <c r="F442" s="3" t="s">
        <v>24</v>
      </c>
      <c r="G442" s="3" t="str" cm="1">
        <f t="array" aca="1" ref="G442" ca="1">INDEX(lista!$B$1:$B$6, RANDBETWEEN(1, 6))</f>
        <v>Radio</v>
      </c>
      <c r="H442" s="3" t="str" cm="1">
        <f t="array" aca="1" ref="H442" ca="1">INDEX(lista!$C$1:$C$4, RANDBETWEEN(1, 4))</f>
        <v>Falla mecánica</v>
      </c>
      <c r="I442" s="3" t="str">
        <f t="shared" ca="1" si="52"/>
        <v>Baja</v>
      </c>
      <c r="J442" s="3" t="str">
        <f t="shared" ca="1" si="53"/>
        <v>Atendida</v>
      </c>
      <c r="K442" s="4">
        <f t="shared" ca="1" si="54"/>
        <v>45621</v>
      </c>
      <c r="L442" s="1">
        <f t="shared" ca="1" si="55"/>
        <v>10</v>
      </c>
      <c r="M442" s="3" t="str">
        <f t="shared" ca="1" si="56"/>
        <v>Telecomunicaciones</v>
      </c>
    </row>
    <row r="443" spans="1:13" x14ac:dyDescent="0.3">
      <c r="A443" s="3">
        <f t="shared" si="50"/>
        <v>442</v>
      </c>
      <c r="B443" s="4">
        <f t="shared" ca="1" si="48"/>
        <v>44991</v>
      </c>
      <c r="C443" s="4" t="str">
        <f t="shared" ca="1" si="51"/>
        <v>2023-03</v>
      </c>
      <c r="D443" s="5">
        <f t="shared" ca="1" si="49"/>
        <v>0.21805555555555556</v>
      </c>
      <c r="E443" s="3" t="str" cm="1">
        <f t="array" aca="1" ref="E443" ca="1">INDEX(lista!$A$1:$A$12, RANDBETWEEN(1, 12))</f>
        <v>Atocongo</v>
      </c>
      <c r="F443" s="3" t="s">
        <v>24</v>
      </c>
      <c r="G443" s="3" t="str" cm="1">
        <f t="array" aca="1" ref="G443" ca="1">INDEX(lista!$B$1:$B$6, RANDBETWEEN(1, 6))</f>
        <v>TVM</v>
      </c>
      <c r="H443" s="3" t="str" cm="1">
        <f t="array" aca="1" ref="H443" ca="1">INDEX(lista!$C$1:$C$4, RANDBETWEEN(1, 4))</f>
        <v>Daño en infraestructura</v>
      </c>
      <c r="I443" s="3" t="str">
        <f t="shared" ca="1" si="52"/>
        <v>Alta</v>
      </c>
      <c r="J443" s="3" t="str">
        <f t="shared" ca="1" si="53"/>
        <v>En curso</v>
      </c>
      <c r="K443" s="4" t="str">
        <f t="shared" ca="1" si="54"/>
        <v/>
      </c>
      <c r="L443" s="1" t="str">
        <f t="shared" ca="1" si="55"/>
        <v/>
      </c>
      <c r="M443" s="3" t="str">
        <f t="shared" ca="1" si="56"/>
        <v>Telecomunicaciones</v>
      </c>
    </row>
    <row r="444" spans="1:13" x14ac:dyDescent="0.3">
      <c r="A444" s="3">
        <f t="shared" si="50"/>
        <v>443</v>
      </c>
      <c r="B444" s="4">
        <f t="shared" ca="1" si="48"/>
        <v>45131</v>
      </c>
      <c r="C444" s="4" t="str">
        <f t="shared" ca="1" si="51"/>
        <v>2023-07</v>
      </c>
      <c r="D444" s="5">
        <f t="shared" ca="1" si="49"/>
        <v>0.9784722222222223</v>
      </c>
      <c r="E444" s="3" t="str" cm="1">
        <f t="array" aca="1" ref="E444" ca="1">INDEX(lista!$A$1:$A$12, RANDBETWEEN(1, 12))</f>
        <v>San Borja Sur</v>
      </c>
      <c r="F444" s="3" t="s">
        <v>24</v>
      </c>
      <c r="G444" s="3" t="str" cm="1">
        <f t="array" aca="1" ref="G444" ca="1">INDEX(lista!$B$1:$B$6, RANDBETWEEN(1, 6))</f>
        <v>TVM</v>
      </c>
      <c r="H444" s="3" t="str" cm="1">
        <f t="array" aca="1" ref="H444" ca="1">INDEX(lista!$C$1:$C$4, RANDBETWEEN(1, 4))</f>
        <v>Falla eléctrica</v>
      </c>
      <c r="I444" s="3" t="str">
        <f t="shared" ca="1" si="52"/>
        <v>Alta</v>
      </c>
      <c r="J444" s="3" t="str">
        <f t="shared" ca="1" si="53"/>
        <v>Atendida</v>
      </c>
      <c r="K444" s="4">
        <f t="shared" ca="1" si="54"/>
        <v>45131</v>
      </c>
      <c r="L444" s="1">
        <f t="shared" ca="1" si="55"/>
        <v>5</v>
      </c>
      <c r="M444" s="3" t="str">
        <f t="shared" ca="1" si="56"/>
        <v>Telecomunicaciones</v>
      </c>
    </row>
    <row r="445" spans="1:13" x14ac:dyDescent="0.3">
      <c r="A445" s="3">
        <f t="shared" si="50"/>
        <v>444</v>
      </c>
      <c r="B445" s="4">
        <f t="shared" ca="1" si="48"/>
        <v>45343</v>
      </c>
      <c r="C445" s="4" t="str">
        <f t="shared" ca="1" si="51"/>
        <v>2024-02</v>
      </c>
      <c r="D445" s="5">
        <f t="shared" ca="1" si="49"/>
        <v>0.15625</v>
      </c>
      <c r="E445" s="3" t="str" cm="1">
        <f t="array" aca="1" ref="E445" ca="1">INDEX(lista!$A$1:$A$12, RANDBETWEEN(1, 12))</f>
        <v>Bayóvar</v>
      </c>
      <c r="F445" s="3" t="s">
        <v>24</v>
      </c>
      <c r="G445" s="3" t="str" cm="1">
        <f t="array" aca="1" ref="G445" ca="1">INDEX(lista!$B$1:$B$6, RANDBETWEEN(1, 6))</f>
        <v>Radio</v>
      </c>
      <c r="H445" s="3" t="str" cm="1">
        <f t="array" aca="1" ref="H445" ca="1">INDEX(lista!$C$1:$C$4, RANDBETWEEN(1, 4))</f>
        <v>Mantenimiento preventivo</v>
      </c>
      <c r="I445" s="3" t="str">
        <f t="shared" ca="1" si="52"/>
        <v>Baja</v>
      </c>
      <c r="J445" s="3" t="str">
        <f t="shared" ca="1" si="53"/>
        <v>Atendida</v>
      </c>
      <c r="K445" s="4">
        <f t="shared" ca="1" si="54"/>
        <v>45343</v>
      </c>
      <c r="L445" s="1">
        <f t="shared" ca="1" si="55"/>
        <v>15</v>
      </c>
      <c r="M445" s="3" t="str">
        <f t="shared" ca="1" si="56"/>
        <v>Telecomunicaciones</v>
      </c>
    </row>
    <row r="446" spans="1:13" x14ac:dyDescent="0.3">
      <c r="A446" s="3">
        <f t="shared" si="50"/>
        <v>445</v>
      </c>
      <c r="B446" s="4">
        <f t="shared" ca="1" si="48"/>
        <v>45393</v>
      </c>
      <c r="C446" s="4" t="str">
        <f t="shared" ca="1" si="51"/>
        <v>2024-04</v>
      </c>
      <c r="D446" s="5">
        <f t="shared" ca="1" si="49"/>
        <v>0.22291666666666668</v>
      </c>
      <c r="E446" s="3" t="str" cm="1">
        <f t="array" aca="1" ref="E446" ca="1">INDEX(lista!$A$1:$A$12, RANDBETWEEN(1, 12))</f>
        <v>La Cultura</v>
      </c>
      <c r="F446" s="3" t="s">
        <v>24</v>
      </c>
      <c r="G446" s="3" t="str" cm="1">
        <f t="array" aca="1" ref="G446" ca="1">INDEX(lista!$B$1:$B$6, RANDBETWEEN(1, 6))</f>
        <v>Torniquete</v>
      </c>
      <c r="H446" s="3" t="str" cm="1">
        <f t="array" aca="1" ref="H446" ca="1">INDEX(lista!$C$1:$C$4, RANDBETWEEN(1, 4))</f>
        <v>Falla eléctrica</v>
      </c>
      <c r="I446" s="3" t="str">
        <f t="shared" ca="1" si="52"/>
        <v>Alta</v>
      </c>
      <c r="J446" s="3" t="str">
        <f t="shared" ca="1" si="53"/>
        <v>En curso</v>
      </c>
      <c r="K446" s="4" t="str">
        <f t="shared" ca="1" si="54"/>
        <v/>
      </c>
      <c r="L446" s="1" t="str">
        <f t="shared" ca="1" si="55"/>
        <v/>
      </c>
      <c r="M446" s="3" t="str">
        <f t="shared" ca="1" si="56"/>
        <v>Telecomunicaciones</v>
      </c>
    </row>
    <row r="447" spans="1:13" x14ac:dyDescent="0.3">
      <c r="A447" s="3">
        <f t="shared" si="50"/>
        <v>446</v>
      </c>
      <c r="B447" s="4">
        <f t="shared" ca="1" si="48"/>
        <v>45431</v>
      </c>
      <c r="C447" s="4" t="str">
        <f t="shared" ca="1" si="51"/>
        <v>2024-05</v>
      </c>
      <c r="D447" s="5">
        <f t="shared" ca="1" si="49"/>
        <v>5.6249999999999994E-2</v>
      </c>
      <c r="E447" s="3" t="str" cm="1">
        <f t="array" aca="1" ref="E447" ca="1">INDEX(lista!$A$1:$A$12, RANDBETWEEN(1, 12))</f>
        <v>San Borja Sur</v>
      </c>
      <c r="F447" s="3" t="s">
        <v>24</v>
      </c>
      <c r="G447" s="3" t="str" cm="1">
        <f t="array" aca="1" ref="G447" ca="1">INDEX(lista!$B$1:$B$6, RANDBETWEEN(1, 6))</f>
        <v>Ascensor</v>
      </c>
      <c r="H447" s="3" t="str" cm="1">
        <f t="array" aca="1" ref="H447" ca="1">INDEX(lista!$C$1:$C$4, RANDBETWEEN(1, 4))</f>
        <v>Mantenimiento preventivo</v>
      </c>
      <c r="I447" s="3" t="str">
        <f t="shared" ca="1" si="52"/>
        <v>Media</v>
      </c>
      <c r="J447" s="3" t="str">
        <f t="shared" ca="1" si="53"/>
        <v>En curso</v>
      </c>
      <c r="K447" s="4" t="str">
        <f t="shared" ca="1" si="54"/>
        <v/>
      </c>
      <c r="L447" s="1" t="str">
        <f t="shared" ca="1" si="55"/>
        <v/>
      </c>
      <c r="M447" s="3" t="str">
        <f t="shared" ca="1" si="56"/>
        <v>Mantenimiento</v>
      </c>
    </row>
    <row r="448" spans="1:13" x14ac:dyDescent="0.3">
      <c r="A448" s="3">
        <f t="shared" si="50"/>
        <v>447</v>
      </c>
      <c r="B448" s="4">
        <f t="shared" ca="1" si="48"/>
        <v>44979</v>
      </c>
      <c r="C448" s="4" t="str">
        <f t="shared" ca="1" si="51"/>
        <v>2023-02</v>
      </c>
      <c r="D448" s="5">
        <f t="shared" ca="1" si="49"/>
        <v>0.91597222222222219</v>
      </c>
      <c r="E448" s="3" t="str" cm="1">
        <f t="array" aca="1" ref="E448" ca="1">INDEX(lista!$A$1:$A$12, RANDBETWEEN(1, 12))</f>
        <v>Gamarra</v>
      </c>
      <c r="F448" s="3" t="s">
        <v>24</v>
      </c>
      <c r="G448" s="3" t="str" cm="1">
        <f t="array" aca="1" ref="G448" ca="1">INDEX(lista!$B$1:$B$6, RANDBETWEEN(1, 6))</f>
        <v>Radio</v>
      </c>
      <c r="H448" s="3" t="str" cm="1">
        <f t="array" aca="1" ref="H448" ca="1">INDEX(lista!$C$1:$C$4, RANDBETWEEN(1, 4))</f>
        <v>Daño en infraestructura</v>
      </c>
      <c r="I448" s="3" t="str">
        <f t="shared" ca="1" si="52"/>
        <v>Baja</v>
      </c>
      <c r="J448" s="3" t="str">
        <f t="shared" ca="1" si="53"/>
        <v>Pendiente</v>
      </c>
      <c r="K448" s="4" t="str">
        <f t="shared" ca="1" si="54"/>
        <v/>
      </c>
      <c r="L448" s="1" t="str">
        <f t="shared" ca="1" si="55"/>
        <v/>
      </c>
      <c r="M448" s="3" t="str">
        <f t="shared" ca="1" si="56"/>
        <v>Telecomunicaciones</v>
      </c>
    </row>
    <row r="449" spans="1:13" x14ac:dyDescent="0.3">
      <c r="A449" s="3">
        <f t="shared" si="50"/>
        <v>448</v>
      </c>
      <c r="B449" s="4">
        <f t="shared" ca="1" si="48"/>
        <v>45113</v>
      </c>
      <c r="C449" s="4" t="str">
        <f t="shared" ca="1" si="51"/>
        <v>2023-07</v>
      </c>
      <c r="D449" s="5">
        <f t="shared" ca="1" si="49"/>
        <v>0.80138888888888882</v>
      </c>
      <c r="E449" s="3" t="str" cm="1">
        <f t="array" aca="1" ref="E449" ca="1">INDEX(lista!$A$1:$A$12, RANDBETWEEN(1, 12))</f>
        <v>Cabitos</v>
      </c>
      <c r="F449" s="3" t="s">
        <v>24</v>
      </c>
      <c r="G449" s="3" t="str" cm="1">
        <f t="array" aca="1" ref="G449" ca="1">INDEX(lista!$B$1:$B$6, RANDBETWEEN(1, 6))</f>
        <v>MET</v>
      </c>
      <c r="H449" s="3" t="str" cm="1">
        <f t="array" aca="1" ref="H449" ca="1">INDEX(lista!$C$1:$C$4, RANDBETWEEN(1, 4))</f>
        <v>Falla mecánica</v>
      </c>
      <c r="I449" s="3" t="str">
        <f t="shared" ca="1" si="52"/>
        <v>Baja</v>
      </c>
      <c r="J449" s="3" t="str">
        <f t="shared" ca="1" si="53"/>
        <v>Atendida</v>
      </c>
      <c r="K449" s="4">
        <f t="shared" ca="1" si="54"/>
        <v>45113</v>
      </c>
      <c r="L449" s="1">
        <f t="shared" ca="1" si="55"/>
        <v>8</v>
      </c>
      <c r="M449" s="3" t="str">
        <f t="shared" ca="1" si="56"/>
        <v>Telecomunicaciones</v>
      </c>
    </row>
    <row r="450" spans="1:13" x14ac:dyDescent="0.3">
      <c r="A450" s="3">
        <f t="shared" si="50"/>
        <v>449</v>
      </c>
      <c r="B450" s="4">
        <f t="shared" ref="B450:B501" ca="1" si="57">DATE(2023,1,1)+RANDBETWEEN(0,730)</f>
        <v>45565</v>
      </c>
      <c r="C450" s="4" t="str">
        <f t="shared" ca="1" si="51"/>
        <v>2024-09</v>
      </c>
      <c r="D450" s="5">
        <f t="shared" ref="D450:D501" ca="1" si="58">RANDBETWEEN(0,23)/24 + RANDBETWEEN(0,59)/1440</f>
        <v>0.29305555555555557</v>
      </c>
      <c r="E450" s="3" t="str" cm="1">
        <f t="array" aca="1" ref="E450" ca="1">INDEX(lista!$A$1:$A$12, RANDBETWEEN(1, 12))</f>
        <v>Pumacahua</v>
      </c>
      <c r="F450" s="3" t="s">
        <v>24</v>
      </c>
      <c r="G450" s="3" t="str" cm="1">
        <f t="array" aca="1" ref="G450" ca="1">INDEX(lista!$B$1:$B$6, RANDBETWEEN(1, 6))</f>
        <v>Escalera eléctrica</v>
      </c>
      <c r="H450" s="3" t="str" cm="1">
        <f t="array" aca="1" ref="H450" ca="1">INDEX(lista!$C$1:$C$4, RANDBETWEEN(1, 4))</f>
        <v>Mantenimiento preventivo</v>
      </c>
      <c r="I450" s="3" t="str">
        <f t="shared" ca="1" si="52"/>
        <v>Media</v>
      </c>
      <c r="J450" s="3" t="str">
        <f t="shared" ca="1" si="53"/>
        <v>Atendida</v>
      </c>
      <c r="K450" s="4">
        <f t="shared" ca="1" si="54"/>
        <v>45566</v>
      </c>
      <c r="L450" s="1">
        <f t="shared" ca="1" si="55"/>
        <v>7</v>
      </c>
      <c r="M450" s="3" t="str">
        <f t="shared" ca="1" si="56"/>
        <v>Mantenimiento</v>
      </c>
    </row>
    <row r="451" spans="1:13" x14ac:dyDescent="0.3">
      <c r="A451" s="3">
        <f t="shared" ref="A451:A501" si="59">ROW()-1</f>
        <v>450</v>
      </c>
      <c r="B451" s="4">
        <f t="shared" ca="1" si="57"/>
        <v>45238</v>
      </c>
      <c r="C451" s="4" t="str">
        <f t="shared" ref="C451:C501" ca="1" si="60">TEXT(B451,"yyyy-mm")</f>
        <v>2023-11</v>
      </c>
      <c r="D451" s="5">
        <f t="shared" ca="1" si="58"/>
        <v>0.4465277777777778</v>
      </c>
      <c r="E451" s="3" t="str" cm="1">
        <f t="array" aca="1" ref="E451" ca="1">INDEX(lista!$A$1:$A$12, RANDBETWEEN(1, 12))</f>
        <v>Villa El Salvador</v>
      </c>
      <c r="F451" s="3" t="s">
        <v>24</v>
      </c>
      <c r="G451" s="3" t="str" cm="1">
        <f t="array" aca="1" ref="G451" ca="1">INDEX(lista!$B$1:$B$6, RANDBETWEEN(1, 6))</f>
        <v>Escalera eléctrica</v>
      </c>
      <c r="H451" s="3" t="str" cm="1">
        <f t="array" aca="1" ref="H451" ca="1">INDEX(lista!$C$1:$C$4, RANDBETWEEN(1, 4))</f>
        <v>Falla mecánica</v>
      </c>
      <c r="I451" s="3" t="str">
        <f t="shared" ref="I451:I501" ca="1" si="61">CHOOSE(RANDBETWEEN(1,10),"Baja","Baja","Baja","Media","Media","Media","Media","Alta","Alta","Alta")</f>
        <v>Baja</v>
      </c>
      <c r="J451" s="3" t="str">
        <f t="shared" ref="J451:J501" ca="1" si="62">CHOOSE(RANDBETWEEN(1,10),"Atendida","Atendida","Atendida","En curso","En curso","Pendiente","Pendiente","Atendida","Atendida","Atendida")</f>
        <v>En curso</v>
      </c>
      <c r="K451" s="4" t="str">
        <f t="shared" ref="K451:K501" ca="1" si="63">IF(J451="Atendida",B451+RANDBETWEEN(0,2),"")</f>
        <v/>
      </c>
      <c r="L451" s="1" t="str">
        <f t="shared" ref="L451:L501" ca="1" si="64">IF(J451="Atendida",RANDBETWEEN(1,24),"")</f>
        <v/>
      </c>
      <c r="M451" s="3" t="str">
        <f t="shared" ref="M451:M501" ca="1" si="65">IF(OR(G451="Escalera eléctrica",G451="Ascensor",G451="Puertas de andén"),"Mantenimiento",IF(G451="Sistema eléctrico","Infraestructura","Telecomunicaciones"))</f>
        <v>Mantenimiento</v>
      </c>
    </row>
    <row r="452" spans="1:13" x14ac:dyDescent="0.3">
      <c r="A452" s="3">
        <f t="shared" si="59"/>
        <v>451</v>
      </c>
      <c r="B452" s="4">
        <f t="shared" ca="1" si="57"/>
        <v>45347</v>
      </c>
      <c r="C452" s="4" t="str">
        <f t="shared" ca="1" si="60"/>
        <v>2024-02</v>
      </c>
      <c r="D452" s="5">
        <f t="shared" ca="1" si="58"/>
        <v>0.64097222222222228</v>
      </c>
      <c r="E452" s="3" t="str" cm="1">
        <f t="array" aca="1" ref="E452" ca="1">INDEX(lista!$A$1:$A$12, RANDBETWEEN(1, 12))</f>
        <v>Cabitos</v>
      </c>
      <c r="F452" s="3" t="s">
        <v>24</v>
      </c>
      <c r="G452" s="3" t="str" cm="1">
        <f t="array" aca="1" ref="G452" ca="1">INDEX(lista!$B$1:$B$6, RANDBETWEEN(1, 6))</f>
        <v>Escalera eléctrica</v>
      </c>
      <c r="H452" s="3" t="str" cm="1">
        <f t="array" aca="1" ref="H452" ca="1">INDEX(lista!$C$1:$C$4, RANDBETWEEN(1, 4))</f>
        <v>Falla eléctrica</v>
      </c>
      <c r="I452" s="3" t="str">
        <f t="shared" ca="1" si="61"/>
        <v>Baja</v>
      </c>
      <c r="J452" s="3" t="str">
        <f t="shared" ca="1" si="62"/>
        <v>Atendida</v>
      </c>
      <c r="K452" s="4">
        <f t="shared" ca="1" si="63"/>
        <v>45347</v>
      </c>
      <c r="L452" s="1">
        <f t="shared" ca="1" si="64"/>
        <v>23</v>
      </c>
      <c r="M452" s="3" t="str">
        <f t="shared" ca="1" si="65"/>
        <v>Mantenimiento</v>
      </c>
    </row>
    <row r="453" spans="1:13" x14ac:dyDescent="0.3">
      <c r="A453" s="3">
        <f t="shared" si="59"/>
        <v>452</v>
      </c>
      <c r="B453" s="4">
        <f t="shared" ca="1" si="57"/>
        <v>45322</v>
      </c>
      <c r="C453" s="4" t="str">
        <f t="shared" ca="1" si="60"/>
        <v>2024-01</v>
      </c>
      <c r="D453" s="5">
        <f t="shared" ca="1" si="58"/>
        <v>0.33888888888888885</v>
      </c>
      <c r="E453" s="3" t="str" cm="1">
        <f t="array" aca="1" ref="E453" ca="1">INDEX(lista!$A$1:$A$12, RANDBETWEEN(1, 12))</f>
        <v>Atocongo</v>
      </c>
      <c r="F453" s="3" t="s">
        <v>24</v>
      </c>
      <c r="G453" s="3" t="str" cm="1">
        <f t="array" aca="1" ref="G453" ca="1">INDEX(lista!$B$1:$B$6, RANDBETWEEN(1, 6))</f>
        <v>Ascensor</v>
      </c>
      <c r="H453" s="3" t="str" cm="1">
        <f t="array" aca="1" ref="H453" ca="1">INDEX(lista!$C$1:$C$4, RANDBETWEEN(1, 4))</f>
        <v>Daño en infraestructura</v>
      </c>
      <c r="I453" s="3" t="str">
        <f t="shared" ca="1" si="61"/>
        <v>Alta</v>
      </c>
      <c r="J453" s="3" t="str">
        <f t="shared" ca="1" si="62"/>
        <v>Atendida</v>
      </c>
      <c r="K453" s="4">
        <f t="shared" ca="1" si="63"/>
        <v>45322</v>
      </c>
      <c r="L453" s="1">
        <f t="shared" ca="1" si="64"/>
        <v>16</v>
      </c>
      <c r="M453" s="3" t="str">
        <f t="shared" ca="1" si="65"/>
        <v>Mantenimiento</v>
      </c>
    </row>
    <row r="454" spans="1:13" x14ac:dyDescent="0.3">
      <c r="A454" s="3">
        <f t="shared" si="59"/>
        <v>453</v>
      </c>
      <c r="B454" s="4">
        <f t="shared" ca="1" si="57"/>
        <v>45062</v>
      </c>
      <c r="C454" s="4" t="str">
        <f t="shared" ca="1" si="60"/>
        <v>2023-05</v>
      </c>
      <c r="D454" s="5">
        <f t="shared" ca="1" si="58"/>
        <v>9.4444444444444442E-2</v>
      </c>
      <c r="E454" s="3" t="str" cm="1">
        <f t="array" aca="1" ref="E454" ca="1">INDEX(lista!$A$1:$A$12, RANDBETWEEN(1, 12))</f>
        <v>Villa El Salvador</v>
      </c>
      <c r="F454" s="3" t="s">
        <v>24</v>
      </c>
      <c r="G454" s="3" t="str" cm="1">
        <f t="array" aca="1" ref="G454" ca="1">INDEX(lista!$B$1:$B$6, RANDBETWEEN(1, 6))</f>
        <v>Radio</v>
      </c>
      <c r="H454" s="3" t="str" cm="1">
        <f t="array" aca="1" ref="H454" ca="1">INDEX(lista!$C$1:$C$4, RANDBETWEEN(1, 4))</f>
        <v>Falla mecánica</v>
      </c>
      <c r="I454" s="3" t="str">
        <f t="shared" ca="1" si="61"/>
        <v>Media</v>
      </c>
      <c r="J454" s="3" t="str">
        <f t="shared" ca="1" si="62"/>
        <v>En curso</v>
      </c>
      <c r="K454" s="4" t="str">
        <f t="shared" ca="1" si="63"/>
        <v/>
      </c>
      <c r="L454" s="1" t="str">
        <f t="shared" ca="1" si="64"/>
        <v/>
      </c>
      <c r="M454" s="3" t="str">
        <f t="shared" ca="1" si="65"/>
        <v>Telecomunicaciones</v>
      </c>
    </row>
    <row r="455" spans="1:13" x14ac:dyDescent="0.3">
      <c r="A455" s="3">
        <f t="shared" si="59"/>
        <v>454</v>
      </c>
      <c r="B455" s="4">
        <f t="shared" ca="1" si="57"/>
        <v>45089</v>
      </c>
      <c r="C455" s="4" t="str">
        <f t="shared" ca="1" si="60"/>
        <v>2023-06</v>
      </c>
      <c r="D455" s="5">
        <f t="shared" ca="1" si="58"/>
        <v>0.15416666666666667</v>
      </c>
      <c r="E455" s="3" t="str" cm="1">
        <f t="array" aca="1" ref="E455" ca="1">INDEX(lista!$A$1:$A$12, RANDBETWEEN(1, 12))</f>
        <v>Villa El Salvador</v>
      </c>
      <c r="F455" s="3" t="s">
        <v>24</v>
      </c>
      <c r="G455" s="3" t="str" cm="1">
        <f t="array" aca="1" ref="G455" ca="1">INDEX(lista!$B$1:$B$6, RANDBETWEEN(1, 6))</f>
        <v>Radio</v>
      </c>
      <c r="H455" s="3" t="str" cm="1">
        <f t="array" aca="1" ref="H455" ca="1">INDEX(lista!$C$1:$C$4, RANDBETWEEN(1, 4))</f>
        <v>Falla mecánica</v>
      </c>
      <c r="I455" s="3" t="str">
        <f t="shared" ca="1" si="61"/>
        <v>Media</v>
      </c>
      <c r="J455" s="3" t="str">
        <f t="shared" ca="1" si="62"/>
        <v>Atendida</v>
      </c>
      <c r="K455" s="4">
        <f t="shared" ca="1" si="63"/>
        <v>45090</v>
      </c>
      <c r="L455" s="1">
        <f t="shared" ca="1" si="64"/>
        <v>21</v>
      </c>
      <c r="M455" s="3" t="str">
        <f t="shared" ca="1" si="65"/>
        <v>Telecomunicaciones</v>
      </c>
    </row>
    <row r="456" spans="1:13" x14ac:dyDescent="0.3">
      <c r="A456" s="3">
        <f t="shared" si="59"/>
        <v>455</v>
      </c>
      <c r="B456" s="4">
        <f t="shared" ca="1" si="57"/>
        <v>45359</v>
      </c>
      <c r="C456" s="4" t="str">
        <f t="shared" ca="1" si="60"/>
        <v>2024-03</v>
      </c>
      <c r="D456" s="5">
        <f t="shared" ca="1" si="58"/>
        <v>0.58750000000000002</v>
      </c>
      <c r="E456" s="3" t="str" cm="1">
        <f t="array" aca="1" ref="E456" ca="1">INDEX(lista!$A$1:$A$12, RANDBETWEEN(1, 12))</f>
        <v>Villa El Salvador</v>
      </c>
      <c r="F456" s="3" t="s">
        <v>24</v>
      </c>
      <c r="G456" s="3" t="str" cm="1">
        <f t="array" aca="1" ref="G456" ca="1">INDEX(lista!$B$1:$B$6, RANDBETWEEN(1, 6))</f>
        <v>Ascensor</v>
      </c>
      <c r="H456" s="3" t="str" cm="1">
        <f t="array" aca="1" ref="H456" ca="1">INDEX(lista!$C$1:$C$4, RANDBETWEEN(1, 4))</f>
        <v>Mantenimiento preventivo</v>
      </c>
      <c r="I456" s="3" t="str">
        <f t="shared" ca="1" si="61"/>
        <v>Alta</v>
      </c>
      <c r="J456" s="3" t="str">
        <f t="shared" ca="1" si="62"/>
        <v>Pendiente</v>
      </c>
      <c r="K456" s="4" t="str">
        <f t="shared" ca="1" si="63"/>
        <v/>
      </c>
      <c r="L456" s="1" t="str">
        <f t="shared" ca="1" si="64"/>
        <v/>
      </c>
      <c r="M456" s="3" t="str">
        <f t="shared" ca="1" si="65"/>
        <v>Mantenimiento</v>
      </c>
    </row>
    <row r="457" spans="1:13" x14ac:dyDescent="0.3">
      <c r="A457" s="3">
        <f t="shared" si="59"/>
        <v>456</v>
      </c>
      <c r="B457" s="4">
        <f t="shared" ca="1" si="57"/>
        <v>45290</v>
      </c>
      <c r="C457" s="4" t="str">
        <f t="shared" ca="1" si="60"/>
        <v>2023-12</v>
      </c>
      <c r="D457" s="5">
        <f t="shared" ca="1" si="58"/>
        <v>0.23472222222222222</v>
      </c>
      <c r="E457" s="3" t="str" cm="1">
        <f t="array" aca="1" ref="E457" ca="1">INDEX(lista!$A$1:$A$12, RANDBETWEEN(1, 12))</f>
        <v>Cabitos</v>
      </c>
      <c r="F457" s="3" t="s">
        <v>24</v>
      </c>
      <c r="G457" s="3" t="str" cm="1">
        <f t="array" aca="1" ref="G457" ca="1">INDEX(lista!$B$1:$B$6, RANDBETWEEN(1, 6))</f>
        <v>Radio</v>
      </c>
      <c r="H457" s="3" t="str" cm="1">
        <f t="array" aca="1" ref="H457" ca="1">INDEX(lista!$C$1:$C$4, RANDBETWEEN(1, 4))</f>
        <v>Daño en infraestructura</v>
      </c>
      <c r="I457" s="3" t="str">
        <f t="shared" ca="1" si="61"/>
        <v>Baja</v>
      </c>
      <c r="J457" s="3" t="str">
        <f t="shared" ca="1" si="62"/>
        <v>Atendida</v>
      </c>
      <c r="K457" s="4">
        <f t="shared" ca="1" si="63"/>
        <v>45290</v>
      </c>
      <c r="L457" s="1">
        <f t="shared" ca="1" si="64"/>
        <v>24</v>
      </c>
      <c r="M457" s="3" t="str">
        <f t="shared" ca="1" si="65"/>
        <v>Telecomunicaciones</v>
      </c>
    </row>
    <row r="458" spans="1:13" x14ac:dyDescent="0.3">
      <c r="A458" s="3">
        <f t="shared" si="59"/>
        <v>457</v>
      </c>
      <c r="B458" s="4">
        <f t="shared" ca="1" si="57"/>
        <v>45480</v>
      </c>
      <c r="C458" s="4" t="str">
        <f t="shared" ca="1" si="60"/>
        <v>2024-07</v>
      </c>
      <c r="D458" s="5">
        <f t="shared" ca="1" si="58"/>
        <v>0.90833333333333333</v>
      </c>
      <c r="E458" s="3" t="str" cm="1">
        <f t="array" aca="1" ref="E458" ca="1">INDEX(lista!$A$1:$A$12, RANDBETWEEN(1, 12))</f>
        <v>San Carlos</v>
      </c>
      <c r="F458" s="3" t="s">
        <v>24</v>
      </c>
      <c r="G458" s="3" t="str" cm="1">
        <f t="array" aca="1" ref="G458" ca="1">INDEX(lista!$B$1:$B$6, RANDBETWEEN(1, 6))</f>
        <v>MET</v>
      </c>
      <c r="H458" s="3" t="str" cm="1">
        <f t="array" aca="1" ref="H458" ca="1">INDEX(lista!$C$1:$C$4, RANDBETWEEN(1, 4))</f>
        <v>Falla eléctrica</v>
      </c>
      <c r="I458" s="3" t="str">
        <f t="shared" ca="1" si="61"/>
        <v>Baja</v>
      </c>
      <c r="J458" s="3" t="str">
        <f t="shared" ca="1" si="62"/>
        <v>En curso</v>
      </c>
      <c r="K458" s="4" t="str">
        <f t="shared" ca="1" si="63"/>
        <v/>
      </c>
      <c r="L458" s="1" t="str">
        <f t="shared" ca="1" si="64"/>
        <v/>
      </c>
      <c r="M458" s="3" t="str">
        <f t="shared" ca="1" si="65"/>
        <v>Telecomunicaciones</v>
      </c>
    </row>
    <row r="459" spans="1:13" x14ac:dyDescent="0.3">
      <c r="A459" s="3">
        <f t="shared" si="59"/>
        <v>458</v>
      </c>
      <c r="B459" s="4">
        <f t="shared" ca="1" si="57"/>
        <v>45578</v>
      </c>
      <c r="C459" s="4" t="str">
        <f t="shared" ca="1" si="60"/>
        <v>2024-10</v>
      </c>
      <c r="D459" s="5">
        <f t="shared" ca="1" si="58"/>
        <v>0.20555555555555555</v>
      </c>
      <c r="E459" s="3" t="str" cm="1">
        <f t="array" aca="1" ref="E459" ca="1">INDEX(lista!$A$1:$A$12, RANDBETWEEN(1, 12))</f>
        <v>Cabitos</v>
      </c>
      <c r="F459" s="3" t="s">
        <v>24</v>
      </c>
      <c r="G459" s="3" t="str" cm="1">
        <f t="array" aca="1" ref="G459" ca="1">INDEX(lista!$B$1:$B$6, RANDBETWEEN(1, 6))</f>
        <v>Escalera eléctrica</v>
      </c>
      <c r="H459" s="3" t="str" cm="1">
        <f t="array" aca="1" ref="H459" ca="1">INDEX(lista!$C$1:$C$4, RANDBETWEEN(1, 4))</f>
        <v>Daño en infraestructura</v>
      </c>
      <c r="I459" s="3" t="str">
        <f t="shared" ca="1" si="61"/>
        <v>Alta</v>
      </c>
      <c r="J459" s="3" t="str">
        <f t="shared" ca="1" si="62"/>
        <v>Atendida</v>
      </c>
      <c r="K459" s="4">
        <f t="shared" ca="1" si="63"/>
        <v>45580</v>
      </c>
      <c r="L459" s="1">
        <f t="shared" ca="1" si="64"/>
        <v>18</v>
      </c>
      <c r="M459" s="3" t="str">
        <f t="shared" ca="1" si="65"/>
        <v>Mantenimiento</v>
      </c>
    </row>
    <row r="460" spans="1:13" x14ac:dyDescent="0.3">
      <c r="A460" s="3">
        <f t="shared" si="59"/>
        <v>459</v>
      </c>
      <c r="B460" s="4">
        <f t="shared" ca="1" si="57"/>
        <v>45588</v>
      </c>
      <c r="C460" s="4" t="str">
        <f t="shared" ca="1" si="60"/>
        <v>2024-10</v>
      </c>
      <c r="D460" s="5">
        <f t="shared" ca="1" si="58"/>
        <v>0.51180555555555551</v>
      </c>
      <c r="E460" s="3" t="str" cm="1">
        <f t="array" aca="1" ref="E460" ca="1">INDEX(lista!$A$1:$A$12, RANDBETWEEN(1, 12))</f>
        <v>Santa Rosa</v>
      </c>
      <c r="F460" s="3" t="s">
        <v>24</v>
      </c>
      <c r="G460" s="3" t="str" cm="1">
        <f t="array" aca="1" ref="G460" ca="1">INDEX(lista!$B$1:$B$6, RANDBETWEEN(1, 6))</f>
        <v>Escalera eléctrica</v>
      </c>
      <c r="H460" s="3" t="str" cm="1">
        <f t="array" aca="1" ref="H460" ca="1">INDEX(lista!$C$1:$C$4, RANDBETWEEN(1, 4))</f>
        <v>Mantenimiento preventivo</v>
      </c>
      <c r="I460" s="3" t="str">
        <f t="shared" ca="1" si="61"/>
        <v>Alta</v>
      </c>
      <c r="J460" s="3" t="str">
        <f t="shared" ca="1" si="62"/>
        <v>Atendida</v>
      </c>
      <c r="K460" s="4">
        <f t="shared" ca="1" si="63"/>
        <v>45590</v>
      </c>
      <c r="L460" s="1">
        <f t="shared" ca="1" si="64"/>
        <v>9</v>
      </c>
      <c r="M460" s="3" t="str">
        <f t="shared" ca="1" si="65"/>
        <v>Mantenimiento</v>
      </c>
    </row>
    <row r="461" spans="1:13" x14ac:dyDescent="0.3">
      <c r="A461" s="3">
        <f t="shared" si="59"/>
        <v>460</v>
      </c>
      <c r="B461" s="4">
        <f t="shared" ca="1" si="57"/>
        <v>45120</v>
      </c>
      <c r="C461" s="4" t="str">
        <f t="shared" ca="1" si="60"/>
        <v>2023-07</v>
      </c>
      <c r="D461" s="5">
        <f t="shared" ca="1" si="58"/>
        <v>1.7361111111111112E-2</v>
      </c>
      <c r="E461" s="3" t="str" cm="1">
        <f t="array" aca="1" ref="E461" ca="1">INDEX(lista!$A$1:$A$12, RANDBETWEEN(1, 12))</f>
        <v>Villa El Salvador</v>
      </c>
      <c r="F461" s="3" t="s">
        <v>24</v>
      </c>
      <c r="G461" s="3" t="str" cm="1">
        <f t="array" aca="1" ref="G461" ca="1">INDEX(lista!$B$1:$B$6, RANDBETWEEN(1, 6))</f>
        <v>MET</v>
      </c>
      <c r="H461" s="3" t="str" cm="1">
        <f t="array" aca="1" ref="H461" ca="1">INDEX(lista!$C$1:$C$4, RANDBETWEEN(1, 4))</f>
        <v>Falla mecánica</v>
      </c>
      <c r="I461" s="3" t="str">
        <f t="shared" ca="1" si="61"/>
        <v>Alta</v>
      </c>
      <c r="J461" s="3" t="str">
        <f t="shared" ca="1" si="62"/>
        <v>Pendiente</v>
      </c>
      <c r="K461" s="4" t="str">
        <f t="shared" ca="1" si="63"/>
        <v/>
      </c>
      <c r="L461" s="1" t="str">
        <f t="shared" ca="1" si="64"/>
        <v/>
      </c>
      <c r="M461" s="3" t="str">
        <f t="shared" ca="1" si="65"/>
        <v>Telecomunicaciones</v>
      </c>
    </row>
    <row r="462" spans="1:13" x14ac:dyDescent="0.3">
      <c r="A462" s="3">
        <f t="shared" si="59"/>
        <v>461</v>
      </c>
      <c r="B462" s="4">
        <f t="shared" ca="1" si="57"/>
        <v>45250</v>
      </c>
      <c r="C462" s="4" t="str">
        <f t="shared" ca="1" si="60"/>
        <v>2023-11</v>
      </c>
      <c r="D462" s="5">
        <f t="shared" ca="1" si="58"/>
        <v>0.98958333333333337</v>
      </c>
      <c r="E462" s="3" t="str" cm="1">
        <f t="array" aca="1" ref="E462" ca="1">INDEX(lista!$A$1:$A$12, RANDBETWEEN(1, 12))</f>
        <v>Gamarra</v>
      </c>
      <c r="F462" s="3" t="s">
        <v>24</v>
      </c>
      <c r="G462" s="3" t="str" cm="1">
        <f t="array" aca="1" ref="G462" ca="1">INDEX(lista!$B$1:$B$6, RANDBETWEEN(1, 6))</f>
        <v>Ascensor</v>
      </c>
      <c r="H462" s="3" t="str" cm="1">
        <f t="array" aca="1" ref="H462" ca="1">INDEX(lista!$C$1:$C$4, RANDBETWEEN(1, 4))</f>
        <v>Falla mecánica</v>
      </c>
      <c r="I462" s="3" t="str">
        <f t="shared" ca="1" si="61"/>
        <v>Media</v>
      </c>
      <c r="J462" s="3" t="str">
        <f t="shared" ca="1" si="62"/>
        <v>Pendiente</v>
      </c>
      <c r="K462" s="4" t="str">
        <f t="shared" ca="1" si="63"/>
        <v/>
      </c>
      <c r="L462" s="1" t="str">
        <f t="shared" ca="1" si="64"/>
        <v/>
      </c>
      <c r="M462" s="3" t="str">
        <f t="shared" ca="1" si="65"/>
        <v>Mantenimiento</v>
      </c>
    </row>
    <row r="463" spans="1:13" x14ac:dyDescent="0.3">
      <c r="A463" s="3">
        <f t="shared" si="59"/>
        <v>462</v>
      </c>
      <c r="B463" s="4">
        <f t="shared" ca="1" si="57"/>
        <v>44981</v>
      </c>
      <c r="C463" s="4" t="str">
        <f t="shared" ca="1" si="60"/>
        <v>2023-02</v>
      </c>
      <c r="D463" s="5">
        <f t="shared" ca="1" si="58"/>
        <v>0.96944444444444444</v>
      </c>
      <c r="E463" s="3" t="str" cm="1">
        <f t="array" aca="1" ref="E463" ca="1">INDEX(lista!$A$1:$A$12, RANDBETWEEN(1, 12))</f>
        <v>San Borja Sur</v>
      </c>
      <c r="F463" s="3" t="s">
        <v>24</v>
      </c>
      <c r="G463" s="3" t="str" cm="1">
        <f t="array" aca="1" ref="G463" ca="1">INDEX(lista!$B$1:$B$6, RANDBETWEEN(1, 6))</f>
        <v>Torniquete</v>
      </c>
      <c r="H463" s="3" t="str" cm="1">
        <f t="array" aca="1" ref="H463" ca="1">INDEX(lista!$C$1:$C$4, RANDBETWEEN(1, 4))</f>
        <v>Daño en infraestructura</v>
      </c>
      <c r="I463" s="3" t="str">
        <f t="shared" ca="1" si="61"/>
        <v>Media</v>
      </c>
      <c r="J463" s="3" t="str">
        <f t="shared" ca="1" si="62"/>
        <v>Atendida</v>
      </c>
      <c r="K463" s="4">
        <f t="shared" ca="1" si="63"/>
        <v>44981</v>
      </c>
      <c r="L463" s="1">
        <f t="shared" ca="1" si="64"/>
        <v>18</v>
      </c>
      <c r="M463" s="3" t="str">
        <f t="shared" ca="1" si="65"/>
        <v>Telecomunicaciones</v>
      </c>
    </row>
    <row r="464" spans="1:13" x14ac:dyDescent="0.3">
      <c r="A464" s="3">
        <f t="shared" si="59"/>
        <v>463</v>
      </c>
      <c r="B464" s="4">
        <f t="shared" ca="1" si="57"/>
        <v>45581</v>
      </c>
      <c r="C464" s="4" t="str">
        <f t="shared" ca="1" si="60"/>
        <v>2024-10</v>
      </c>
      <c r="D464" s="5">
        <f t="shared" ca="1" si="58"/>
        <v>0.65347222222222223</v>
      </c>
      <c r="E464" s="3" t="str" cm="1">
        <f t="array" aca="1" ref="E464" ca="1">INDEX(lista!$A$1:$A$12, RANDBETWEEN(1, 12))</f>
        <v>Angamos</v>
      </c>
      <c r="F464" s="3" t="s">
        <v>24</v>
      </c>
      <c r="G464" s="3" t="str" cm="1">
        <f t="array" aca="1" ref="G464" ca="1">INDEX(lista!$B$1:$B$6, RANDBETWEEN(1, 6))</f>
        <v>Radio</v>
      </c>
      <c r="H464" s="3" t="str" cm="1">
        <f t="array" aca="1" ref="H464" ca="1">INDEX(lista!$C$1:$C$4, RANDBETWEEN(1, 4))</f>
        <v>Mantenimiento preventivo</v>
      </c>
      <c r="I464" s="3" t="str">
        <f t="shared" ca="1" si="61"/>
        <v>Media</v>
      </c>
      <c r="J464" s="3" t="str">
        <f t="shared" ca="1" si="62"/>
        <v>Atendida</v>
      </c>
      <c r="K464" s="4">
        <f t="shared" ca="1" si="63"/>
        <v>45583</v>
      </c>
      <c r="L464" s="1">
        <f t="shared" ca="1" si="64"/>
        <v>23</v>
      </c>
      <c r="M464" s="3" t="str">
        <f t="shared" ca="1" si="65"/>
        <v>Telecomunicaciones</v>
      </c>
    </row>
    <row r="465" spans="1:13" x14ac:dyDescent="0.3">
      <c r="A465" s="3">
        <f t="shared" si="59"/>
        <v>464</v>
      </c>
      <c r="B465" s="4">
        <f t="shared" ca="1" si="57"/>
        <v>45146</v>
      </c>
      <c r="C465" s="4" t="str">
        <f t="shared" ca="1" si="60"/>
        <v>2023-08</v>
      </c>
      <c r="D465" s="5">
        <f t="shared" ca="1" si="58"/>
        <v>0.44097222222222227</v>
      </c>
      <c r="E465" s="3" t="str" cm="1">
        <f t="array" aca="1" ref="E465" ca="1">INDEX(lista!$A$1:$A$12, RANDBETWEEN(1, 12))</f>
        <v>Bayóvar</v>
      </c>
      <c r="F465" s="3" t="s">
        <v>24</v>
      </c>
      <c r="G465" s="3" t="str" cm="1">
        <f t="array" aca="1" ref="G465" ca="1">INDEX(lista!$B$1:$B$6, RANDBETWEEN(1, 6))</f>
        <v>Ascensor</v>
      </c>
      <c r="H465" s="3" t="str" cm="1">
        <f t="array" aca="1" ref="H465" ca="1">INDEX(lista!$C$1:$C$4, RANDBETWEEN(1, 4))</f>
        <v>Mantenimiento preventivo</v>
      </c>
      <c r="I465" s="3" t="str">
        <f t="shared" ca="1" si="61"/>
        <v>Baja</v>
      </c>
      <c r="J465" s="3" t="str">
        <f t="shared" ca="1" si="62"/>
        <v>Atendida</v>
      </c>
      <c r="K465" s="4">
        <f t="shared" ca="1" si="63"/>
        <v>45147</v>
      </c>
      <c r="L465" s="1">
        <f t="shared" ca="1" si="64"/>
        <v>15</v>
      </c>
      <c r="M465" s="3" t="str">
        <f t="shared" ca="1" si="65"/>
        <v>Mantenimiento</v>
      </c>
    </row>
    <row r="466" spans="1:13" x14ac:dyDescent="0.3">
      <c r="A466" s="3">
        <f t="shared" si="59"/>
        <v>465</v>
      </c>
      <c r="B466" s="4">
        <f t="shared" ca="1" si="57"/>
        <v>45514</v>
      </c>
      <c r="C466" s="4" t="str">
        <f t="shared" ca="1" si="60"/>
        <v>2024-08</v>
      </c>
      <c r="D466" s="5">
        <f t="shared" ca="1" si="58"/>
        <v>0.375</v>
      </c>
      <c r="E466" s="3" t="str" cm="1">
        <f t="array" aca="1" ref="E466" ca="1">INDEX(lista!$A$1:$A$12, RANDBETWEEN(1, 12))</f>
        <v>Ayacucho</v>
      </c>
      <c r="F466" s="3" t="s">
        <v>24</v>
      </c>
      <c r="G466" s="3" t="str" cm="1">
        <f t="array" aca="1" ref="G466" ca="1">INDEX(lista!$B$1:$B$6, RANDBETWEEN(1, 6))</f>
        <v>Radio</v>
      </c>
      <c r="H466" s="3" t="str" cm="1">
        <f t="array" aca="1" ref="H466" ca="1">INDEX(lista!$C$1:$C$4, RANDBETWEEN(1, 4))</f>
        <v>Mantenimiento preventivo</v>
      </c>
      <c r="I466" s="3" t="str">
        <f t="shared" ca="1" si="61"/>
        <v>Alta</v>
      </c>
      <c r="J466" s="3" t="str">
        <f t="shared" ca="1" si="62"/>
        <v>Pendiente</v>
      </c>
      <c r="K466" s="4" t="str">
        <f t="shared" ca="1" si="63"/>
        <v/>
      </c>
      <c r="L466" s="1" t="str">
        <f t="shared" ca="1" si="64"/>
        <v/>
      </c>
      <c r="M466" s="3" t="str">
        <f t="shared" ca="1" si="65"/>
        <v>Telecomunicaciones</v>
      </c>
    </row>
    <row r="467" spans="1:13" x14ac:dyDescent="0.3">
      <c r="A467" s="3">
        <f t="shared" si="59"/>
        <v>466</v>
      </c>
      <c r="B467" s="4">
        <f t="shared" ca="1" si="57"/>
        <v>45185</v>
      </c>
      <c r="C467" s="4" t="str">
        <f t="shared" ca="1" si="60"/>
        <v>2023-09</v>
      </c>
      <c r="D467" s="5">
        <f t="shared" ca="1" si="58"/>
        <v>0.37430555555555556</v>
      </c>
      <c r="E467" s="3" t="str" cm="1">
        <f t="array" aca="1" ref="E467" ca="1">INDEX(lista!$A$1:$A$12, RANDBETWEEN(1, 12))</f>
        <v>Bayóvar</v>
      </c>
      <c r="F467" s="3" t="s">
        <v>24</v>
      </c>
      <c r="G467" s="3" t="str" cm="1">
        <f t="array" aca="1" ref="G467" ca="1">INDEX(lista!$B$1:$B$6, RANDBETWEEN(1, 6))</f>
        <v>Ascensor</v>
      </c>
      <c r="H467" s="3" t="str" cm="1">
        <f t="array" aca="1" ref="H467" ca="1">INDEX(lista!$C$1:$C$4, RANDBETWEEN(1, 4))</f>
        <v>Falla mecánica</v>
      </c>
      <c r="I467" s="3" t="str">
        <f t="shared" ca="1" si="61"/>
        <v>Alta</v>
      </c>
      <c r="J467" s="3" t="str">
        <f t="shared" ca="1" si="62"/>
        <v>En curso</v>
      </c>
      <c r="K467" s="4" t="str">
        <f t="shared" ca="1" si="63"/>
        <v/>
      </c>
      <c r="L467" s="1" t="str">
        <f t="shared" ca="1" si="64"/>
        <v/>
      </c>
      <c r="M467" s="3" t="str">
        <f t="shared" ca="1" si="65"/>
        <v>Mantenimiento</v>
      </c>
    </row>
    <row r="468" spans="1:13" x14ac:dyDescent="0.3">
      <c r="A468" s="3">
        <f t="shared" si="59"/>
        <v>467</v>
      </c>
      <c r="B468" s="4">
        <f t="shared" ca="1" si="57"/>
        <v>45588</v>
      </c>
      <c r="C468" s="4" t="str">
        <f t="shared" ca="1" si="60"/>
        <v>2024-10</v>
      </c>
      <c r="D468" s="5">
        <f t="shared" ca="1" si="58"/>
        <v>0.64513888888888893</v>
      </c>
      <c r="E468" s="3" t="str" cm="1">
        <f t="array" aca="1" ref="E468" ca="1">INDEX(lista!$A$1:$A$12, RANDBETWEEN(1, 12))</f>
        <v>San Carlos</v>
      </c>
      <c r="F468" s="3" t="s">
        <v>24</v>
      </c>
      <c r="G468" s="3" t="str" cm="1">
        <f t="array" aca="1" ref="G468" ca="1">INDEX(lista!$B$1:$B$6, RANDBETWEEN(1, 6))</f>
        <v>Ascensor</v>
      </c>
      <c r="H468" s="3" t="str" cm="1">
        <f t="array" aca="1" ref="H468" ca="1">INDEX(lista!$C$1:$C$4, RANDBETWEEN(1, 4))</f>
        <v>Falla eléctrica</v>
      </c>
      <c r="I468" s="3" t="str">
        <f t="shared" ca="1" si="61"/>
        <v>Baja</v>
      </c>
      <c r="J468" s="3" t="str">
        <f t="shared" ca="1" si="62"/>
        <v>Atendida</v>
      </c>
      <c r="K468" s="4">
        <f t="shared" ca="1" si="63"/>
        <v>45590</v>
      </c>
      <c r="L468" s="1">
        <f t="shared" ca="1" si="64"/>
        <v>18</v>
      </c>
      <c r="M468" s="3" t="str">
        <f t="shared" ca="1" si="65"/>
        <v>Mantenimiento</v>
      </c>
    </row>
    <row r="469" spans="1:13" x14ac:dyDescent="0.3">
      <c r="A469" s="3">
        <f t="shared" si="59"/>
        <v>468</v>
      </c>
      <c r="B469" s="4">
        <f t="shared" ca="1" si="57"/>
        <v>45169</v>
      </c>
      <c r="C469" s="4" t="str">
        <f t="shared" ca="1" si="60"/>
        <v>2023-08</v>
      </c>
      <c r="D469" s="5">
        <f t="shared" ca="1" si="58"/>
        <v>0.85833333333333339</v>
      </c>
      <c r="E469" s="3" t="str" cm="1">
        <f t="array" aca="1" ref="E469" ca="1">INDEX(lista!$A$1:$A$12, RANDBETWEEN(1, 12))</f>
        <v>Santa Rosa</v>
      </c>
      <c r="F469" s="3" t="s">
        <v>24</v>
      </c>
      <c r="G469" s="3" t="str" cm="1">
        <f t="array" aca="1" ref="G469" ca="1">INDEX(lista!$B$1:$B$6, RANDBETWEEN(1, 6))</f>
        <v>MET</v>
      </c>
      <c r="H469" s="3" t="str" cm="1">
        <f t="array" aca="1" ref="H469" ca="1">INDEX(lista!$C$1:$C$4, RANDBETWEEN(1, 4))</f>
        <v>Falla mecánica</v>
      </c>
      <c r="I469" s="3" t="str">
        <f t="shared" ca="1" si="61"/>
        <v>Alta</v>
      </c>
      <c r="J469" s="3" t="str">
        <f t="shared" ca="1" si="62"/>
        <v>Pendiente</v>
      </c>
      <c r="K469" s="4" t="str">
        <f t="shared" ca="1" si="63"/>
        <v/>
      </c>
      <c r="L469" s="1" t="str">
        <f t="shared" ca="1" si="64"/>
        <v/>
      </c>
      <c r="M469" s="3" t="str">
        <f t="shared" ca="1" si="65"/>
        <v>Telecomunicaciones</v>
      </c>
    </row>
    <row r="470" spans="1:13" x14ac:dyDescent="0.3">
      <c r="A470" s="3">
        <f t="shared" si="59"/>
        <v>469</v>
      </c>
      <c r="B470" s="4">
        <f t="shared" ca="1" si="57"/>
        <v>45568</v>
      </c>
      <c r="C470" s="4" t="str">
        <f t="shared" ca="1" si="60"/>
        <v>2024-10</v>
      </c>
      <c r="D470" s="5">
        <f t="shared" ca="1" si="58"/>
        <v>0.37013888888888885</v>
      </c>
      <c r="E470" s="3" t="str" cm="1">
        <f t="array" aca="1" ref="E470" ca="1">INDEX(lista!$A$1:$A$12, RANDBETWEEN(1, 12))</f>
        <v>Angamos</v>
      </c>
      <c r="F470" s="3" t="s">
        <v>24</v>
      </c>
      <c r="G470" s="3" t="str" cm="1">
        <f t="array" aca="1" ref="G470" ca="1">INDEX(lista!$B$1:$B$6, RANDBETWEEN(1, 6))</f>
        <v>Torniquete</v>
      </c>
      <c r="H470" s="3" t="str" cm="1">
        <f t="array" aca="1" ref="H470" ca="1">INDEX(lista!$C$1:$C$4, RANDBETWEEN(1, 4))</f>
        <v>Falla mecánica</v>
      </c>
      <c r="I470" s="3" t="str">
        <f t="shared" ca="1" si="61"/>
        <v>Media</v>
      </c>
      <c r="J470" s="3" t="str">
        <f t="shared" ca="1" si="62"/>
        <v>Atendida</v>
      </c>
      <c r="K470" s="4">
        <f t="shared" ca="1" si="63"/>
        <v>45570</v>
      </c>
      <c r="L470" s="1">
        <f t="shared" ca="1" si="64"/>
        <v>22</v>
      </c>
      <c r="M470" s="3" t="str">
        <f t="shared" ca="1" si="65"/>
        <v>Telecomunicaciones</v>
      </c>
    </row>
    <row r="471" spans="1:13" x14ac:dyDescent="0.3">
      <c r="A471" s="3">
        <f t="shared" si="59"/>
        <v>470</v>
      </c>
      <c r="B471" s="4">
        <f t="shared" ca="1" si="57"/>
        <v>45450</v>
      </c>
      <c r="C471" s="4" t="str">
        <f t="shared" ca="1" si="60"/>
        <v>2024-06</v>
      </c>
      <c r="D471" s="5">
        <f t="shared" ca="1" si="58"/>
        <v>0.97291666666666665</v>
      </c>
      <c r="E471" s="3" t="str" cm="1">
        <f t="array" aca="1" ref="E471" ca="1">INDEX(lista!$A$1:$A$12, RANDBETWEEN(1, 12))</f>
        <v>La Cultura</v>
      </c>
      <c r="F471" s="3" t="s">
        <v>24</v>
      </c>
      <c r="G471" s="3" t="str" cm="1">
        <f t="array" aca="1" ref="G471" ca="1">INDEX(lista!$B$1:$B$6, RANDBETWEEN(1, 6))</f>
        <v>TVM</v>
      </c>
      <c r="H471" s="3" t="str" cm="1">
        <f t="array" aca="1" ref="H471" ca="1">INDEX(lista!$C$1:$C$4, RANDBETWEEN(1, 4))</f>
        <v>Daño en infraestructura</v>
      </c>
      <c r="I471" s="3" t="str">
        <f t="shared" ca="1" si="61"/>
        <v>Media</v>
      </c>
      <c r="J471" s="3" t="str">
        <f t="shared" ca="1" si="62"/>
        <v>Atendida</v>
      </c>
      <c r="K471" s="4">
        <f t="shared" ca="1" si="63"/>
        <v>45450</v>
      </c>
      <c r="L471" s="1">
        <f t="shared" ca="1" si="64"/>
        <v>17</v>
      </c>
      <c r="M471" s="3" t="str">
        <f t="shared" ca="1" si="65"/>
        <v>Telecomunicaciones</v>
      </c>
    </row>
    <row r="472" spans="1:13" x14ac:dyDescent="0.3">
      <c r="A472" s="3">
        <f t="shared" si="59"/>
        <v>471</v>
      </c>
      <c r="B472" s="4">
        <f t="shared" ca="1" si="57"/>
        <v>45246</v>
      </c>
      <c r="C472" s="4" t="str">
        <f t="shared" ca="1" si="60"/>
        <v>2023-11</v>
      </c>
      <c r="D472" s="5">
        <f t="shared" ca="1" si="58"/>
        <v>0.11597222222222223</v>
      </c>
      <c r="E472" s="3" t="str" cm="1">
        <f t="array" aca="1" ref="E472" ca="1">INDEX(lista!$A$1:$A$12, RANDBETWEEN(1, 12))</f>
        <v>San Carlos</v>
      </c>
      <c r="F472" s="3" t="s">
        <v>24</v>
      </c>
      <c r="G472" s="3" t="str" cm="1">
        <f t="array" aca="1" ref="G472" ca="1">INDEX(lista!$B$1:$B$6, RANDBETWEEN(1, 6))</f>
        <v>Ascensor</v>
      </c>
      <c r="H472" s="3" t="str" cm="1">
        <f t="array" aca="1" ref="H472" ca="1">INDEX(lista!$C$1:$C$4, RANDBETWEEN(1, 4))</f>
        <v>Falla eléctrica</v>
      </c>
      <c r="I472" s="3" t="str">
        <f t="shared" ca="1" si="61"/>
        <v>Baja</v>
      </c>
      <c r="J472" s="3" t="str">
        <f t="shared" ca="1" si="62"/>
        <v>Atendida</v>
      </c>
      <c r="K472" s="4">
        <f t="shared" ca="1" si="63"/>
        <v>45246</v>
      </c>
      <c r="L472" s="1">
        <f t="shared" ca="1" si="64"/>
        <v>21</v>
      </c>
      <c r="M472" s="3" t="str">
        <f t="shared" ca="1" si="65"/>
        <v>Mantenimiento</v>
      </c>
    </row>
    <row r="473" spans="1:13" x14ac:dyDescent="0.3">
      <c r="A473" s="3">
        <f t="shared" si="59"/>
        <v>472</v>
      </c>
      <c r="B473" s="4">
        <f t="shared" ca="1" si="57"/>
        <v>45091</v>
      </c>
      <c r="C473" s="4" t="str">
        <f t="shared" ca="1" si="60"/>
        <v>2023-06</v>
      </c>
      <c r="D473" s="5">
        <f t="shared" ca="1" si="58"/>
        <v>0.60138888888888897</v>
      </c>
      <c r="E473" s="3" t="str" cm="1">
        <f t="array" aca="1" ref="E473" ca="1">INDEX(lista!$A$1:$A$12, RANDBETWEEN(1, 12))</f>
        <v>Bayóvar</v>
      </c>
      <c r="F473" s="3" t="s">
        <v>24</v>
      </c>
      <c r="G473" s="3" t="str" cm="1">
        <f t="array" aca="1" ref="G473" ca="1">INDEX(lista!$B$1:$B$6, RANDBETWEEN(1, 6))</f>
        <v>Torniquete</v>
      </c>
      <c r="H473" s="3" t="str" cm="1">
        <f t="array" aca="1" ref="H473" ca="1">INDEX(lista!$C$1:$C$4, RANDBETWEEN(1, 4))</f>
        <v>Falla eléctrica</v>
      </c>
      <c r="I473" s="3" t="str">
        <f t="shared" ca="1" si="61"/>
        <v>Baja</v>
      </c>
      <c r="J473" s="3" t="str">
        <f t="shared" ca="1" si="62"/>
        <v>Atendida</v>
      </c>
      <c r="K473" s="4">
        <f t="shared" ca="1" si="63"/>
        <v>45092</v>
      </c>
      <c r="L473" s="1">
        <f t="shared" ca="1" si="64"/>
        <v>9</v>
      </c>
      <c r="M473" s="3" t="str">
        <f t="shared" ca="1" si="65"/>
        <v>Telecomunicaciones</v>
      </c>
    </row>
    <row r="474" spans="1:13" x14ac:dyDescent="0.3">
      <c r="A474" s="3">
        <f t="shared" si="59"/>
        <v>473</v>
      </c>
      <c r="B474" s="4">
        <f t="shared" ca="1" si="57"/>
        <v>45428</v>
      </c>
      <c r="C474" s="4" t="str">
        <f t="shared" ca="1" si="60"/>
        <v>2024-05</v>
      </c>
      <c r="D474" s="5">
        <f t="shared" ca="1" si="58"/>
        <v>0.94374999999999998</v>
      </c>
      <c r="E474" s="3" t="str" cm="1">
        <f t="array" aca="1" ref="E474" ca="1">INDEX(lista!$A$1:$A$12, RANDBETWEEN(1, 12))</f>
        <v>Villa El Salvador</v>
      </c>
      <c r="F474" s="3" t="s">
        <v>24</v>
      </c>
      <c r="G474" s="3" t="str" cm="1">
        <f t="array" aca="1" ref="G474" ca="1">INDEX(lista!$B$1:$B$6, RANDBETWEEN(1, 6))</f>
        <v>TVM</v>
      </c>
      <c r="H474" s="3" t="str" cm="1">
        <f t="array" aca="1" ref="H474" ca="1">INDEX(lista!$C$1:$C$4, RANDBETWEEN(1, 4))</f>
        <v>Falla eléctrica</v>
      </c>
      <c r="I474" s="3" t="str">
        <f t="shared" ca="1" si="61"/>
        <v>Baja</v>
      </c>
      <c r="J474" s="3" t="str">
        <f t="shared" ca="1" si="62"/>
        <v>Atendida</v>
      </c>
      <c r="K474" s="4">
        <f t="shared" ca="1" si="63"/>
        <v>45428</v>
      </c>
      <c r="L474" s="1">
        <f t="shared" ca="1" si="64"/>
        <v>21</v>
      </c>
      <c r="M474" s="3" t="str">
        <f t="shared" ca="1" si="65"/>
        <v>Telecomunicaciones</v>
      </c>
    </row>
    <row r="475" spans="1:13" x14ac:dyDescent="0.3">
      <c r="A475" s="3">
        <f t="shared" si="59"/>
        <v>474</v>
      </c>
      <c r="B475" s="4">
        <f t="shared" ca="1" si="57"/>
        <v>44964</v>
      </c>
      <c r="C475" s="4" t="str">
        <f t="shared" ca="1" si="60"/>
        <v>2023-02</v>
      </c>
      <c r="D475" s="5">
        <f t="shared" ca="1" si="58"/>
        <v>0.97361111111111109</v>
      </c>
      <c r="E475" s="3" t="str" cm="1">
        <f t="array" aca="1" ref="E475" ca="1">INDEX(lista!$A$1:$A$12, RANDBETWEEN(1, 12))</f>
        <v>Villa El Salvador</v>
      </c>
      <c r="F475" s="3" t="s">
        <v>24</v>
      </c>
      <c r="G475" s="3" t="str" cm="1">
        <f t="array" aca="1" ref="G475" ca="1">INDEX(lista!$B$1:$B$6, RANDBETWEEN(1, 6))</f>
        <v>MET</v>
      </c>
      <c r="H475" s="3" t="str" cm="1">
        <f t="array" aca="1" ref="H475" ca="1">INDEX(lista!$C$1:$C$4, RANDBETWEEN(1, 4))</f>
        <v>Daño en infraestructura</v>
      </c>
      <c r="I475" s="3" t="str">
        <f t="shared" ca="1" si="61"/>
        <v>Alta</v>
      </c>
      <c r="J475" s="3" t="str">
        <f t="shared" ca="1" si="62"/>
        <v>Atendida</v>
      </c>
      <c r="K475" s="4">
        <f t="shared" ca="1" si="63"/>
        <v>44965</v>
      </c>
      <c r="L475" s="1">
        <f t="shared" ca="1" si="64"/>
        <v>22</v>
      </c>
      <c r="M475" s="3" t="str">
        <f t="shared" ca="1" si="65"/>
        <v>Telecomunicaciones</v>
      </c>
    </row>
    <row r="476" spans="1:13" x14ac:dyDescent="0.3">
      <c r="A476" s="3">
        <f t="shared" si="59"/>
        <v>475</v>
      </c>
      <c r="B476" s="4">
        <f t="shared" ca="1" si="57"/>
        <v>45645</v>
      </c>
      <c r="C476" s="4" t="str">
        <f t="shared" ca="1" si="60"/>
        <v>2024-12</v>
      </c>
      <c r="D476" s="5">
        <f t="shared" ca="1" si="58"/>
        <v>0.67569444444444438</v>
      </c>
      <c r="E476" s="3" t="str" cm="1">
        <f t="array" aca="1" ref="E476" ca="1">INDEX(lista!$A$1:$A$12, RANDBETWEEN(1, 12))</f>
        <v>Cabitos</v>
      </c>
      <c r="F476" s="3" t="s">
        <v>24</v>
      </c>
      <c r="G476" s="3" t="str" cm="1">
        <f t="array" aca="1" ref="G476" ca="1">INDEX(lista!$B$1:$B$6, RANDBETWEEN(1, 6))</f>
        <v>MET</v>
      </c>
      <c r="H476" s="3" t="str" cm="1">
        <f t="array" aca="1" ref="H476" ca="1">INDEX(lista!$C$1:$C$4, RANDBETWEEN(1, 4))</f>
        <v>Falla eléctrica</v>
      </c>
      <c r="I476" s="3" t="str">
        <f t="shared" ca="1" si="61"/>
        <v>Media</v>
      </c>
      <c r="J476" s="3" t="str">
        <f t="shared" ca="1" si="62"/>
        <v>En curso</v>
      </c>
      <c r="K476" s="4" t="str">
        <f t="shared" ca="1" si="63"/>
        <v/>
      </c>
      <c r="L476" s="1" t="str">
        <f t="shared" ca="1" si="64"/>
        <v/>
      </c>
      <c r="M476" s="3" t="str">
        <f t="shared" ca="1" si="65"/>
        <v>Telecomunicaciones</v>
      </c>
    </row>
    <row r="477" spans="1:13" x14ac:dyDescent="0.3">
      <c r="A477" s="3">
        <f t="shared" si="59"/>
        <v>476</v>
      </c>
      <c r="B477" s="4">
        <f t="shared" ca="1" si="57"/>
        <v>44973</v>
      </c>
      <c r="C477" s="4" t="str">
        <f t="shared" ca="1" si="60"/>
        <v>2023-02</v>
      </c>
      <c r="D477" s="5">
        <f t="shared" ca="1" si="58"/>
        <v>0.59861111111111109</v>
      </c>
      <c r="E477" s="3" t="str" cm="1">
        <f t="array" aca="1" ref="E477" ca="1">INDEX(lista!$A$1:$A$12, RANDBETWEEN(1, 12))</f>
        <v>La Cultura</v>
      </c>
      <c r="F477" s="3" t="s">
        <v>24</v>
      </c>
      <c r="G477" s="3" t="str" cm="1">
        <f t="array" aca="1" ref="G477" ca="1">INDEX(lista!$B$1:$B$6, RANDBETWEEN(1, 6))</f>
        <v>TVM</v>
      </c>
      <c r="H477" s="3" t="str" cm="1">
        <f t="array" aca="1" ref="H477" ca="1">INDEX(lista!$C$1:$C$4, RANDBETWEEN(1, 4))</f>
        <v>Daño en infraestructura</v>
      </c>
      <c r="I477" s="3" t="str">
        <f t="shared" ca="1" si="61"/>
        <v>Media</v>
      </c>
      <c r="J477" s="3" t="str">
        <f t="shared" ca="1" si="62"/>
        <v>En curso</v>
      </c>
      <c r="K477" s="4" t="str">
        <f t="shared" ca="1" si="63"/>
        <v/>
      </c>
      <c r="L477" s="1" t="str">
        <f t="shared" ca="1" si="64"/>
        <v/>
      </c>
      <c r="M477" s="3" t="str">
        <f t="shared" ca="1" si="65"/>
        <v>Telecomunicaciones</v>
      </c>
    </row>
    <row r="478" spans="1:13" x14ac:dyDescent="0.3">
      <c r="A478" s="3">
        <f t="shared" si="59"/>
        <v>477</v>
      </c>
      <c r="B478" s="4">
        <f t="shared" ca="1" si="57"/>
        <v>45271</v>
      </c>
      <c r="C478" s="4" t="str">
        <f t="shared" ca="1" si="60"/>
        <v>2023-12</v>
      </c>
      <c r="D478" s="5">
        <f t="shared" ca="1" si="58"/>
        <v>0.15625</v>
      </c>
      <c r="E478" s="3" t="str" cm="1">
        <f t="array" aca="1" ref="E478" ca="1">INDEX(lista!$A$1:$A$12, RANDBETWEEN(1, 12))</f>
        <v>San Borja Sur</v>
      </c>
      <c r="F478" s="3" t="s">
        <v>24</v>
      </c>
      <c r="G478" s="3" t="str" cm="1">
        <f t="array" aca="1" ref="G478" ca="1">INDEX(lista!$B$1:$B$6, RANDBETWEEN(1, 6))</f>
        <v>Radio</v>
      </c>
      <c r="H478" s="3" t="str" cm="1">
        <f t="array" aca="1" ref="H478" ca="1">INDEX(lista!$C$1:$C$4, RANDBETWEEN(1, 4))</f>
        <v>Falla eléctrica</v>
      </c>
      <c r="I478" s="3" t="str">
        <f t="shared" ca="1" si="61"/>
        <v>Media</v>
      </c>
      <c r="J478" s="3" t="str">
        <f t="shared" ca="1" si="62"/>
        <v>Atendida</v>
      </c>
      <c r="K478" s="4">
        <f t="shared" ca="1" si="63"/>
        <v>45271</v>
      </c>
      <c r="L478" s="1">
        <f t="shared" ca="1" si="64"/>
        <v>18</v>
      </c>
      <c r="M478" s="3" t="str">
        <f t="shared" ca="1" si="65"/>
        <v>Telecomunicaciones</v>
      </c>
    </row>
    <row r="479" spans="1:13" x14ac:dyDescent="0.3">
      <c r="A479" s="3">
        <f t="shared" si="59"/>
        <v>478</v>
      </c>
      <c r="B479" s="4">
        <f t="shared" ca="1" si="57"/>
        <v>45065</v>
      </c>
      <c r="C479" s="4" t="str">
        <f t="shared" ca="1" si="60"/>
        <v>2023-05</v>
      </c>
      <c r="D479" s="5">
        <f t="shared" ca="1" si="58"/>
        <v>0.97500000000000009</v>
      </c>
      <c r="E479" s="3" t="str" cm="1">
        <f t="array" aca="1" ref="E479" ca="1">INDEX(lista!$A$1:$A$12, RANDBETWEEN(1, 12))</f>
        <v>Villa El Salvador</v>
      </c>
      <c r="F479" s="3" t="s">
        <v>24</v>
      </c>
      <c r="G479" s="3" t="str" cm="1">
        <f t="array" aca="1" ref="G479" ca="1">INDEX(lista!$B$1:$B$6, RANDBETWEEN(1, 6))</f>
        <v>Radio</v>
      </c>
      <c r="H479" s="3" t="str" cm="1">
        <f t="array" aca="1" ref="H479" ca="1">INDEX(lista!$C$1:$C$4, RANDBETWEEN(1, 4))</f>
        <v>Daño en infraestructura</v>
      </c>
      <c r="I479" s="3" t="str">
        <f t="shared" ca="1" si="61"/>
        <v>Alta</v>
      </c>
      <c r="J479" s="3" t="str">
        <f t="shared" ca="1" si="62"/>
        <v>Atendida</v>
      </c>
      <c r="K479" s="4">
        <f t="shared" ca="1" si="63"/>
        <v>45065</v>
      </c>
      <c r="L479" s="1">
        <f t="shared" ca="1" si="64"/>
        <v>24</v>
      </c>
      <c r="M479" s="3" t="str">
        <f t="shared" ca="1" si="65"/>
        <v>Telecomunicaciones</v>
      </c>
    </row>
    <row r="480" spans="1:13" x14ac:dyDescent="0.3">
      <c r="A480" s="3">
        <f t="shared" si="59"/>
        <v>479</v>
      </c>
      <c r="B480" s="4">
        <f t="shared" ca="1" si="57"/>
        <v>45547</v>
      </c>
      <c r="C480" s="4" t="str">
        <f t="shared" ca="1" si="60"/>
        <v>2024-09</v>
      </c>
      <c r="D480" s="5">
        <f t="shared" ca="1" si="58"/>
        <v>0.62638888888888888</v>
      </c>
      <c r="E480" s="3" t="str" cm="1">
        <f t="array" aca="1" ref="E480" ca="1">INDEX(lista!$A$1:$A$12, RANDBETWEEN(1, 12))</f>
        <v>Ayacucho</v>
      </c>
      <c r="F480" s="3" t="s">
        <v>24</v>
      </c>
      <c r="G480" s="3" t="str" cm="1">
        <f t="array" aca="1" ref="G480" ca="1">INDEX(lista!$B$1:$B$6, RANDBETWEEN(1, 6))</f>
        <v>TVM</v>
      </c>
      <c r="H480" s="3" t="str" cm="1">
        <f t="array" aca="1" ref="H480" ca="1">INDEX(lista!$C$1:$C$4, RANDBETWEEN(1, 4))</f>
        <v>Falla mecánica</v>
      </c>
      <c r="I480" s="3" t="str">
        <f t="shared" ca="1" si="61"/>
        <v>Media</v>
      </c>
      <c r="J480" s="3" t="str">
        <f t="shared" ca="1" si="62"/>
        <v>Atendida</v>
      </c>
      <c r="K480" s="4">
        <f t="shared" ca="1" si="63"/>
        <v>45549</v>
      </c>
      <c r="L480" s="1">
        <f t="shared" ca="1" si="64"/>
        <v>13</v>
      </c>
      <c r="M480" s="3" t="str">
        <f t="shared" ca="1" si="65"/>
        <v>Telecomunicaciones</v>
      </c>
    </row>
    <row r="481" spans="1:13" x14ac:dyDescent="0.3">
      <c r="A481" s="3">
        <f t="shared" si="59"/>
        <v>480</v>
      </c>
      <c r="B481" s="4">
        <f t="shared" ca="1" si="57"/>
        <v>45441</v>
      </c>
      <c r="C481" s="4" t="str">
        <f t="shared" ca="1" si="60"/>
        <v>2024-05</v>
      </c>
      <c r="D481" s="5">
        <f t="shared" ca="1" si="58"/>
        <v>0.99652777777777779</v>
      </c>
      <c r="E481" s="3" t="str" cm="1">
        <f t="array" aca="1" ref="E481" ca="1">INDEX(lista!$A$1:$A$12, RANDBETWEEN(1, 12))</f>
        <v>Santa Rosa</v>
      </c>
      <c r="F481" s="3" t="s">
        <v>24</v>
      </c>
      <c r="G481" s="3" t="str" cm="1">
        <f t="array" aca="1" ref="G481" ca="1">INDEX(lista!$B$1:$B$6, RANDBETWEEN(1, 6))</f>
        <v>Ascensor</v>
      </c>
      <c r="H481" s="3" t="str" cm="1">
        <f t="array" aca="1" ref="H481" ca="1">INDEX(lista!$C$1:$C$4, RANDBETWEEN(1, 4))</f>
        <v>Mantenimiento preventivo</v>
      </c>
      <c r="I481" s="3" t="str">
        <f t="shared" ca="1" si="61"/>
        <v>Alta</v>
      </c>
      <c r="J481" s="3" t="str">
        <f t="shared" ca="1" si="62"/>
        <v>Atendida</v>
      </c>
      <c r="K481" s="4">
        <f t="shared" ca="1" si="63"/>
        <v>45443</v>
      </c>
      <c r="L481" s="1">
        <f t="shared" ca="1" si="64"/>
        <v>7</v>
      </c>
      <c r="M481" s="3" t="str">
        <f t="shared" ca="1" si="65"/>
        <v>Mantenimiento</v>
      </c>
    </row>
    <row r="482" spans="1:13" x14ac:dyDescent="0.3">
      <c r="A482" s="3">
        <f t="shared" si="59"/>
        <v>481</v>
      </c>
      <c r="B482" s="4">
        <f t="shared" ca="1" si="57"/>
        <v>45404</v>
      </c>
      <c r="C482" s="4" t="str">
        <f t="shared" ca="1" si="60"/>
        <v>2024-04</v>
      </c>
      <c r="D482" s="5">
        <f t="shared" ca="1" si="58"/>
        <v>0.94444444444444442</v>
      </c>
      <c r="E482" s="3" t="str" cm="1">
        <f t="array" aca="1" ref="E482" ca="1">INDEX(lista!$A$1:$A$12, RANDBETWEEN(1, 12))</f>
        <v>Pumacahua</v>
      </c>
      <c r="F482" s="3" t="s">
        <v>24</v>
      </c>
      <c r="G482" s="3" t="str" cm="1">
        <f t="array" aca="1" ref="G482" ca="1">INDEX(lista!$B$1:$B$6, RANDBETWEEN(1, 6))</f>
        <v>Ascensor</v>
      </c>
      <c r="H482" s="3" t="str" cm="1">
        <f t="array" aca="1" ref="H482" ca="1">INDEX(lista!$C$1:$C$4, RANDBETWEEN(1, 4))</f>
        <v>Falla eléctrica</v>
      </c>
      <c r="I482" s="3" t="str">
        <f t="shared" ca="1" si="61"/>
        <v>Baja</v>
      </c>
      <c r="J482" s="3" t="str">
        <f t="shared" ca="1" si="62"/>
        <v>Atendida</v>
      </c>
      <c r="K482" s="4">
        <f t="shared" ca="1" si="63"/>
        <v>45405</v>
      </c>
      <c r="L482" s="1">
        <f t="shared" ca="1" si="64"/>
        <v>15</v>
      </c>
      <c r="M482" s="3" t="str">
        <f t="shared" ca="1" si="65"/>
        <v>Mantenimiento</v>
      </c>
    </row>
    <row r="483" spans="1:13" x14ac:dyDescent="0.3">
      <c r="A483" s="3">
        <f t="shared" si="59"/>
        <v>482</v>
      </c>
      <c r="B483" s="4">
        <f t="shared" ca="1" si="57"/>
        <v>44951</v>
      </c>
      <c r="C483" s="4" t="str">
        <f t="shared" ca="1" si="60"/>
        <v>2023-01</v>
      </c>
      <c r="D483" s="5">
        <f t="shared" ca="1" si="58"/>
        <v>0.1847222222222222</v>
      </c>
      <c r="E483" s="3" t="str" cm="1">
        <f t="array" aca="1" ref="E483" ca="1">INDEX(lista!$A$1:$A$12, RANDBETWEEN(1, 12))</f>
        <v>San Carlos</v>
      </c>
      <c r="F483" s="3" t="s">
        <v>24</v>
      </c>
      <c r="G483" s="3" t="str" cm="1">
        <f t="array" aca="1" ref="G483" ca="1">INDEX(lista!$B$1:$B$6, RANDBETWEEN(1, 6))</f>
        <v>Torniquete</v>
      </c>
      <c r="H483" s="3" t="str" cm="1">
        <f t="array" aca="1" ref="H483" ca="1">INDEX(lista!$C$1:$C$4, RANDBETWEEN(1, 4))</f>
        <v>Falla eléctrica</v>
      </c>
      <c r="I483" s="3" t="str">
        <f t="shared" ca="1" si="61"/>
        <v>Media</v>
      </c>
      <c r="J483" s="3" t="str">
        <f t="shared" ca="1" si="62"/>
        <v>Atendida</v>
      </c>
      <c r="K483" s="4">
        <f t="shared" ca="1" si="63"/>
        <v>44953</v>
      </c>
      <c r="L483" s="1">
        <f t="shared" ca="1" si="64"/>
        <v>6</v>
      </c>
      <c r="M483" s="3" t="str">
        <f t="shared" ca="1" si="65"/>
        <v>Telecomunicaciones</v>
      </c>
    </row>
    <row r="484" spans="1:13" x14ac:dyDescent="0.3">
      <c r="A484" s="3">
        <f t="shared" si="59"/>
        <v>483</v>
      </c>
      <c r="B484" s="4">
        <f t="shared" ca="1" si="57"/>
        <v>45140</v>
      </c>
      <c r="C484" s="4" t="str">
        <f t="shared" ca="1" si="60"/>
        <v>2023-08</v>
      </c>
      <c r="D484" s="5">
        <f t="shared" ca="1" si="58"/>
        <v>4.0972222222222222E-2</v>
      </c>
      <c r="E484" s="3" t="str" cm="1">
        <f t="array" aca="1" ref="E484" ca="1">INDEX(lista!$A$1:$A$12, RANDBETWEEN(1, 12))</f>
        <v>Gamarra</v>
      </c>
      <c r="F484" s="3" t="s">
        <v>24</v>
      </c>
      <c r="G484" s="3" t="str" cm="1">
        <f t="array" aca="1" ref="G484" ca="1">INDEX(lista!$B$1:$B$6, RANDBETWEEN(1, 6))</f>
        <v>Radio</v>
      </c>
      <c r="H484" s="3" t="str" cm="1">
        <f t="array" aca="1" ref="H484" ca="1">INDEX(lista!$C$1:$C$4, RANDBETWEEN(1, 4))</f>
        <v>Mantenimiento preventivo</v>
      </c>
      <c r="I484" s="3" t="str">
        <f t="shared" ca="1" si="61"/>
        <v>Alta</v>
      </c>
      <c r="J484" s="3" t="str">
        <f t="shared" ca="1" si="62"/>
        <v>Atendida</v>
      </c>
      <c r="K484" s="4">
        <f t="shared" ca="1" si="63"/>
        <v>45141</v>
      </c>
      <c r="L484" s="1">
        <f t="shared" ca="1" si="64"/>
        <v>23</v>
      </c>
      <c r="M484" s="3" t="str">
        <f t="shared" ca="1" si="65"/>
        <v>Telecomunicaciones</v>
      </c>
    </row>
    <row r="485" spans="1:13" x14ac:dyDescent="0.3">
      <c r="A485" s="3">
        <f t="shared" si="59"/>
        <v>484</v>
      </c>
      <c r="B485" s="4">
        <f t="shared" ca="1" si="57"/>
        <v>45190</v>
      </c>
      <c r="C485" s="4" t="str">
        <f t="shared" ca="1" si="60"/>
        <v>2023-09</v>
      </c>
      <c r="D485" s="5">
        <f t="shared" ca="1" si="58"/>
        <v>0.29583333333333334</v>
      </c>
      <c r="E485" s="3" t="str" cm="1">
        <f t="array" aca="1" ref="E485" ca="1">INDEX(lista!$A$1:$A$12, RANDBETWEEN(1, 12))</f>
        <v>Santa Rosa</v>
      </c>
      <c r="F485" s="3" t="s">
        <v>24</v>
      </c>
      <c r="G485" s="3" t="str" cm="1">
        <f t="array" aca="1" ref="G485" ca="1">INDEX(lista!$B$1:$B$6, RANDBETWEEN(1, 6))</f>
        <v>MET</v>
      </c>
      <c r="H485" s="3" t="str" cm="1">
        <f t="array" aca="1" ref="H485" ca="1">INDEX(lista!$C$1:$C$4, RANDBETWEEN(1, 4))</f>
        <v>Falla eléctrica</v>
      </c>
      <c r="I485" s="3" t="str">
        <f t="shared" ca="1" si="61"/>
        <v>Media</v>
      </c>
      <c r="J485" s="3" t="str">
        <f t="shared" ca="1" si="62"/>
        <v>Pendiente</v>
      </c>
      <c r="K485" s="4" t="str">
        <f t="shared" ca="1" si="63"/>
        <v/>
      </c>
      <c r="L485" s="1" t="str">
        <f t="shared" ca="1" si="64"/>
        <v/>
      </c>
      <c r="M485" s="3" t="str">
        <f t="shared" ca="1" si="65"/>
        <v>Telecomunicaciones</v>
      </c>
    </row>
    <row r="486" spans="1:13" x14ac:dyDescent="0.3">
      <c r="A486" s="3">
        <f t="shared" si="59"/>
        <v>485</v>
      </c>
      <c r="B486" s="4">
        <f t="shared" ca="1" si="57"/>
        <v>45449</v>
      </c>
      <c r="C486" s="4" t="str">
        <f t="shared" ca="1" si="60"/>
        <v>2024-06</v>
      </c>
      <c r="D486" s="5">
        <f t="shared" ca="1" si="58"/>
        <v>0.12847222222222221</v>
      </c>
      <c r="E486" s="3" t="str" cm="1">
        <f t="array" aca="1" ref="E486" ca="1">INDEX(lista!$A$1:$A$12, RANDBETWEEN(1, 12))</f>
        <v>Gamarra</v>
      </c>
      <c r="F486" s="3" t="s">
        <v>24</v>
      </c>
      <c r="G486" s="3" t="str" cm="1">
        <f t="array" aca="1" ref="G486" ca="1">INDEX(lista!$B$1:$B$6, RANDBETWEEN(1, 6))</f>
        <v>Escalera eléctrica</v>
      </c>
      <c r="H486" s="3" t="str" cm="1">
        <f t="array" aca="1" ref="H486" ca="1">INDEX(lista!$C$1:$C$4, RANDBETWEEN(1, 4))</f>
        <v>Falla mecánica</v>
      </c>
      <c r="I486" s="3" t="str">
        <f t="shared" ca="1" si="61"/>
        <v>Alta</v>
      </c>
      <c r="J486" s="3" t="str">
        <f t="shared" ca="1" si="62"/>
        <v>En curso</v>
      </c>
      <c r="K486" s="4" t="str">
        <f t="shared" ca="1" si="63"/>
        <v/>
      </c>
      <c r="L486" s="1" t="str">
        <f t="shared" ca="1" si="64"/>
        <v/>
      </c>
      <c r="M486" s="3" t="str">
        <f t="shared" ca="1" si="65"/>
        <v>Mantenimiento</v>
      </c>
    </row>
    <row r="487" spans="1:13" x14ac:dyDescent="0.3">
      <c r="A487" s="3">
        <f t="shared" si="59"/>
        <v>486</v>
      </c>
      <c r="B487" s="4">
        <f t="shared" ca="1" si="57"/>
        <v>45585</v>
      </c>
      <c r="C487" s="4" t="str">
        <f t="shared" ca="1" si="60"/>
        <v>2024-10</v>
      </c>
      <c r="D487" s="5">
        <f t="shared" ca="1" si="58"/>
        <v>0.44236111111111115</v>
      </c>
      <c r="E487" s="3" t="str" cm="1">
        <f t="array" aca="1" ref="E487" ca="1">INDEX(lista!$A$1:$A$12, RANDBETWEEN(1, 12))</f>
        <v>San Carlos</v>
      </c>
      <c r="F487" s="3" t="s">
        <v>24</v>
      </c>
      <c r="G487" s="3" t="str" cm="1">
        <f t="array" aca="1" ref="G487" ca="1">INDEX(lista!$B$1:$B$6, RANDBETWEEN(1, 6))</f>
        <v>Torniquete</v>
      </c>
      <c r="H487" s="3" t="str" cm="1">
        <f t="array" aca="1" ref="H487" ca="1">INDEX(lista!$C$1:$C$4, RANDBETWEEN(1, 4))</f>
        <v>Daño en infraestructura</v>
      </c>
      <c r="I487" s="3" t="str">
        <f t="shared" ca="1" si="61"/>
        <v>Media</v>
      </c>
      <c r="J487" s="3" t="str">
        <f t="shared" ca="1" si="62"/>
        <v>Atendida</v>
      </c>
      <c r="K487" s="4">
        <f t="shared" ca="1" si="63"/>
        <v>45586</v>
      </c>
      <c r="L487" s="1">
        <f t="shared" ca="1" si="64"/>
        <v>21</v>
      </c>
      <c r="M487" s="3" t="str">
        <f t="shared" ca="1" si="65"/>
        <v>Telecomunicaciones</v>
      </c>
    </row>
    <row r="488" spans="1:13" x14ac:dyDescent="0.3">
      <c r="A488" s="3">
        <f t="shared" si="59"/>
        <v>487</v>
      </c>
      <c r="B488" s="4">
        <f t="shared" ca="1" si="57"/>
        <v>45182</v>
      </c>
      <c r="C488" s="4" t="str">
        <f t="shared" ca="1" si="60"/>
        <v>2023-09</v>
      </c>
      <c r="D488" s="5">
        <f t="shared" ca="1" si="58"/>
        <v>0.89027777777777772</v>
      </c>
      <c r="E488" s="3" t="str" cm="1">
        <f t="array" aca="1" ref="E488" ca="1">INDEX(lista!$A$1:$A$12, RANDBETWEEN(1, 12))</f>
        <v>San Carlos</v>
      </c>
      <c r="F488" s="3" t="s">
        <v>24</v>
      </c>
      <c r="G488" s="3" t="str" cm="1">
        <f t="array" aca="1" ref="G488" ca="1">INDEX(lista!$B$1:$B$6, RANDBETWEEN(1, 6))</f>
        <v>Ascensor</v>
      </c>
      <c r="H488" s="3" t="str" cm="1">
        <f t="array" aca="1" ref="H488" ca="1">INDEX(lista!$C$1:$C$4, RANDBETWEEN(1, 4))</f>
        <v>Mantenimiento preventivo</v>
      </c>
      <c r="I488" s="3" t="str">
        <f t="shared" ca="1" si="61"/>
        <v>Baja</v>
      </c>
      <c r="J488" s="3" t="str">
        <f t="shared" ca="1" si="62"/>
        <v>Atendida</v>
      </c>
      <c r="K488" s="4">
        <f t="shared" ca="1" si="63"/>
        <v>45184</v>
      </c>
      <c r="L488" s="1">
        <f t="shared" ca="1" si="64"/>
        <v>18</v>
      </c>
      <c r="M488" s="3" t="str">
        <f t="shared" ca="1" si="65"/>
        <v>Mantenimiento</v>
      </c>
    </row>
    <row r="489" spans="1:13" x14ac:dyDescent="0.3">
      <c r="A489" s="3">
        <f t="shared" si="59"/>
        <v>488</v>
      </c>
      <c r="B489" s="4">
        <f t="shared" ca="1" si="57"/>
        <v>45170</v>
      </c>
      <c r="C489" s="4" t="str">
        <f t="shared" ca="1" si="60"/>
        <v>2023-09</v>
      </c>
      <c r="D489" s="5">
        <f t="shared" ca="1" si="58"/>
        <v>0.28125</v>
      </c>
      <c r="E489" s="3" t="str" cm="1">
        <f t="array" aca="1" ref="E489" ca="1">INDEX(lista!$A$1:$A$12, RANDBETWEEN(1, 12))</f>
        <v>Angamos</v>
      </c>
      <c r="F489" s="3" t="s">
        <v>24</v>
      </c>
      <c r="G489" s="3" t="str" cm="1">
        <f t="array" aca="1" ref="G489" ca="1">INDEX(lista!$B$1:$B$6, RANDBETWEEN(1, 6))</f>
        <v>MET</v>
      </c>
      <c r="H489" s="3" t="str" cm="1">
        <f t="array" aca="1" ref="H489" ca="1">INDEX(lista!$C$1:$C$4, RANDBETWEEN(1, 4))</f>
        <v>Mantenimiento preventivo</v>
      </c>
      <c r="I489" s="3" t="str">
        <f t="shared" ca="1" si="61"/>
        <v>Alta</v>
      </c>
      <c r="J489" s="3" t="str">
        <f t="shared" ca="1" si="62"/>
        <v>Pendiente</v>
      </c>
      <c r="K489" s="4" t="str">
        <f t="shared" ca="1" si="63"/>
        <v/>
      </c>
      <c r="L489" s="1" t="str">
        <f t="shared" ca="1" si="64"/>
        <v/>
      </c>
      <c r="M489" s="3" t="str">
        <f t="shared" ca="1" si="65"/>
        <v>Telecomunicaciones</v>
      </c>
    </row>
    <row r="490" spans="1:13" x14ac:dyDescent="0.3">
      <c r="A490" s="3">
        <f t="shared" si="59"/>
        <v>489</v>
      </c>
      <c r="B490" s="4">
        <f t="shared" ca="1" si="57"/>
        <v>45262</v>
      </c>
      <c r="C490" s="4" t="str">
        <f t="shared" ca="1" si="60"/>
        <v>2023-12</v>
      </c>
      <c r="D490" s="5">
        <f t="shared" ca="1" si="58"/>
        <v>7.7777777777777779E-2</v>
      </c>
      <c r="E490" s="3" t="str" cm="1">
        <f t="array" aca="1" ref="E490" ca="1">INDEX(lista!$A$1:$A$12, RANDBETWEEN(1, 12))</f>
        <v>Cabitos</v>
      </c>
      <c r="F490" s="3" t="s">
        <v>24</v>
      </c>
      <c r="G490" s="3" t="str" cm="1">
        <f t="array" aca="1" ref="G490" ca="1">INDEX(lista!$B$1:$B$6, RANDBETWEEN(1, 6))</f>
        <v>Ascensor</v>
      </c>
      <c r="H490" s="3" t="str" cm="1">
        <f t="array" aca="1" ref="H490" ca="1">INDEX(lista!$C$1:$C$4, RANDBETWEEN(1, 4))</f>
        <v>Falla mecánica</v>
      </c>
      <c r="I490" s="3" t="str">
        <f t="shared" ca="1" si="61"/>
        <v>Baja</v>
      </c>
      <c r="J490" s="3" t="str">
        <f t="shared" ca="1" si="62"/>
        <v>En curso</v>
      </c>
      <c r="K490" s="4" t="str">
        <f t="shared" ca="1" si="63"/>
        <v/>
      </c>
      <c r="L490" s="1" t="str">
        <f t="shared" ca="1" si="64"/>
        <v/>
      </c>
      <c r="M490" s="3" t="str">
        <f t="shared" ca="1" si="65"/>
        <v>Mantenimiento</v>
      </c>
    </row>
    <row r="491" spans="1:13" x14ac:dyDescent="0.3">
      <c r="A491" s="3">
        <f t="shared" si="59"/>
        <v>490</v>
      </c>
      <c r="B491" s="4">
        <f t="shared" ca="1" si="57"/>
        <v>45003</v>
      </c>
      <c r="C491" s="4" t="str">
        <f t="shared" ca="1" si="60"/>
        <v>2023-03</v>
      </c>
      <c r="D491" s="5">
        <f t="shared" ca="1" si="58"/>
        <v>0.53541666666666665</v>
      </c>
      <c r="E491" s="3" t="str" cm="1">
        <f t="array" aca="1" ref="E491" ca="1">INDEX(lista!$A$1:$A$12, RANDBETWEEN(1, 12))</f>
        <v>Ayacucho</v>
      </c>
      <c r="F491" s="3" t="s">
        <v>24</v>
      </c>
      <c r="G491" s="3" t="str" cm="1">
        <f t="array" aca="1" ref="G491" ca="1">INDEX(lista!$B$1:$B$6, RANDBETWEEN(1, 6))</f>
        <v>Escalera eléctrica</v>
      </c>
      <c r="H491" s="3" t="str" cm="1">
        <f t="array" aca="1" ref="H491" ca="1">INDEX(lista!$C$1:$C$4, RANDBETWEEN(1, 4))</f>
        <v>Daño en infraestructura</v>
      </c>
      <c r="I491" s="3" t="str">
        <f t="shared" ca="1" si="61"/>
        <v>Media</v>
      </c>
      <c r="J491" s="3" t="str">
        <f t="shared" ca="1" si="62"/>
        <v>Pendiente</v>
      </c>
      <c r="K491" s="4" t="str">
        <f t="shared" ca="1" si="63"/>
        <v/>
      </c>
      <c r="L491" s="1" t="str">
        <f t="shared" ca="1" si="64"/>
        <v/>
      </c>
      <c r="M491" s="3" t="str">
        <f t="shared" ca="1" si="65"/>
        <v>Mantenimiento</v>
      </c>
    </row>
    <row r="492" spans="1:13" x14ac:dyDescent="0.3">
      <c r="A492" s="3">
        <f t="shared" si="59"/>
        <v>491</v>
      </c>
      <c r="B492" s="4">
        <f t="shared" ca="1" si="57"/>
        <v>45371</v>
      </c>
      <c r="C492" s="4" t="str">
        <f t="shared" ca="1" si="60"/>
        <v>2024-03</v>
      </c>
      <c r="D492" s="5">
        <f t="shared" ca="1" si="58"/>
        <v>8.9583333333333334E-2</v>
      </c>
      <c r="E492" s="3" t="str" cm="1">
        <f t="array" aca="1" ref="E492" ca="1">INDEX(lista!$A$1:$A$12, RANDBETWEEN(1, 12))</f>
        <v>Angamos</v>
      </c>
      <c r="F492" s="3" t="s">
        <v>24</v>
      </c>
      <c r="G492" s="3" t="str" cm="1">
        <f t="array" aca="1" ref="G492" ca="1">INDEX(lista!$B$1:$B$6, RANDBETWEEN(1, 6))</f>
        <v>Torniquete</v>
      </c>
      <c r="H492" s="3" t="str" cm="1">
        <f t="array" aca="1" ref="H492" ca="1">INDEX(lista!$C$1:$C$4, RANDBETWEEN(1, 4))</f>
        <v>Falla eléctrica</v>
      </c>
      <c r="I492" s="3" t="str">
        <f t="shared" ca="1" si="61"/>
        <v>Baja</v>
      </c>
      <c r="J492" s="3" t="str">
        <f t="shared" ca="1" si="62"/>
        <v>Atendida</v>
      </c>
      <c r="K492" s="4">
        <f t="shared" ca="1" si="63"/>
        <v>45371</v>
      </c>
      <c r="L492" s="1">
        <f t="shared" ca="1" si="64"/>
        <v>10</v>
      </c>
      <c r="M492" s="3" t="str">
        <f t="shared" ca="1" si="65"/>
        <v>Telecomunicaciones</v>
      </c>
    </row>
    <row r="493" spans="1:13" x14ac:dyDescent="0.3">
      <c r="A493" s="3">
        <f t="shared" si="59"/>
        <v>492</v>
      </c>
      <c r="B493" s="4">
        <f t="shared" ca="1" si="57"/>
        <v>45325</v>
      </c>
      <c r="C493" s="4" t="str">
        <f t="shared" ca="1" si="60"/>
        <v>2024-02</v>
      </c>
      <c r="D493" s="5">
        <f t="shared" ca="1" si="58"/>
        <v>0.56874999999999998</v>
      </c>
      <c r="E493" s="3" t="str" cm="1">
        <f t="array" aca="1" ref="E493" ca="1">INDEX(lista!$A$1:$A$12, RANDBETWEEN(1, 12))</f>
        <v>Pumacahua</v>
      </c>
      <c r="F493" s="3" t="s">
        <v>24</v>
      </c>
      <c r="G493" s="3" t="str" cm="1">
        <f t="array" aca="1" ref="G493" ca="1">INDEX(lista!$B$1:$B$6, RANDBETWEEN(1, 6))</f>
        <v>TVM</v>
      </c>
      <c r="H493" s="3" t="str" cm="1">
        <f t="array" aca="1" ref="H493" ca="1">INDEX(lista!$C$1:$C$4, RANDBETWEEN(1, 4))</f>
        <v>Daño en infraestructura</v>
      </c>
      <c r="I493" s="3" t="str">
        <f t="shared" ca="1" si="61"/>
        <v>Baja</v>
      </c>
      <c r="J493" s="3" t="str">
        <f t="shared" ca="1" si="62"/>
        <v>En curso</v>
      </c>
      <c r="K493" s="4" t="str">
        <f t="shared" ca="1" si="63"/>
        <v/>
      </c>
      <c r="L493" s="1" t="str">
        <f t="shared" ca="1" si="64"/>
        <v/>
      </c>
      <c r="M493" s="3" t="str">
        <f t="shared" ca="1" si="65"/>
        <v>Telecomunicaciones</v>
      </c>
    </row>
    <row r="494" spans="1:13" x14ac:dyDescent="0.3">
      <c r="A494" s="3">
        <f t="shared" si="59"/>
        <v>493</v>
      </c>
      <c r="B494" s="4">
        <f t="shared" ca="1" si="57"/>
        <v>45310</v>
      </c>
      <c r="C494" s="4" t="str">
        <f t="shared" ca="1" si="60"/>
        <v>2024-01</v>
      </c>
      <c r="D494" s="5">
        <f t="shared" ca="1" si="58"/>
        <v>0.15555555555555556</v>
      </c>
      <c r="E494" s="3" t="str" cm="1">
        <f t="array" aca="1" ref="E494" ca="1">INDEX(lista!$A$1:$A$12, RANDBETWEEN(1, 12))</f>
        <v>Cabitos</v>
      </c>
      <c r="F494" s="3" t="s">
        <v>24</v>
      </c>
      <c r="G494" s="3" t="str" cm="1">
        <f t="array" aca="1" ref="G494" ca="1">INDEX(lista!$B$1:$B$6, RANDBETWEEN(1, 6))</f>
        <v>Torniquete</v>
      </c>
      <c r="H494" s="3" t="str" cm="1">
        <f t="array" aca="1" ref="H494" ca="1">INDEX(lista!$C$1:$C$4, RANDBETWEEN(1, 4))</f>
        <v>Daño en infraestructura</v>
      </c>
      <c r="I494" s="3" t="str">
        <f t="shared" ca="1" si="61"/>
        <v>Media</v>
      </c>
      <c r="J494" s="3" t="str">
        <f t="shared" ca="1" si="62"/>
        <v>Atendida</v>
      </c>
      <c r="K494" s="4">
        <f t="shared" ca="1" si="63"/>
        <v>45312</v>
      </c>
      <c r="L494" s="1">
        <f t="shared" ca="1" si="64"/>
        <v>9</v>
      </c>
      <c r="M494" s="3" t="str">
        <f t="shared" ca="1" si="65"/>
        <v>Telecomunicaciones</v>
      </c>
    </row>
    <row r="495" spans="1:13" x14ac:dyDescent="0.3">
      <c r="A495" s="3">
        <f t="shared" si="59"/>
        <v>494</v>
      </c>
      <c r="B495" s="4">
        <f t="shared" ca="1" si="57"/>
        <v>45473</v>
      </c>
      <c r="C495" s="4" t="str">
        <f t="shared" ca="1" si="60"/>
        <v>2024-06</v>
      </c>
      <c r="D495" s="5">
        <f t="shared" ca="1" si="58"/>
        <v>0.90416666666666667</v>
      </c>
      <c r="E495" s="3" t="str" cm="1">
        <f t="array" aca="1" ref="E495" ca="1">INDEX(lista!$A$1:$A$12, RANDBETWEEN(1, 12))</f>
        <v>Cabitos</v>
      </c>
      <c r="F495" s="3" t="s">
        <v>24</v>
      </c>
      <c r="G495" s="3" t="str" cm="1">
        <f t="array" aca="1" ref="G495" ca="1">INDEX(lista!$B$1:$B$6, RANDBETWEEN(1, 6))</f>
        <v>MET</v>
      </c>
      <c r="H495" s="3" t="str" cm="1">
        <f t="array" aca="1" ref="H495" ca="1">INDEX(lista!$C$1:$C$4, RANDBETWEEN(1, 4))</f>
        <v>Daño en infraestructura</v>
      </c>
      <c r="I495" s="3" t="str">
        <f t="shared" ca="1" si="61"/>
        <v>Media</v>
      </c>
      <c r="J495" s="3" t="str">
        <f t="shared" ca="1" si="62"/>
        <v>Atendida</v>
      </c>
      <c r="K495" s="4">
        <f t="shared" ca="1" si="63"/>
        <v>45473</v>
      </c>
      <c r="L495" s="1">
        <f t="shared" ca="1" si="64"/>
        <v>4</v>
      </c>
      <c r="M495" s="3" t="str">
        <f t="shared" ca="1" si="65"/>
        <v>Telecomunicaciones</v>
      </c>
    </row>
    <row r="496" spans="1:13" x14ac:dyDescent="0.3">
      <c r="A496" s="3">
        <f t="shared" si="59"/>
        <v>495</v>
      </c>
      <c r="B496" s="4">
        <f t="shared" ca="1" si="57"/>
        <v>45276</v>
      </c>
      <c r="C496" s="4" t="str">
        <f t="shared" ca="1" si="60"/>
        <v>2023-12</v>
      </c>
      <c r="D496" s="5">
        <f t="shared" ca="1" si="58"/>
        <v>0.79722222222222217</v>
      </c>
      <c r="E496" s="3" t="str" cm="1">
        <f t="array" aca="1" ref="E496" ca="1">INDEX(lista!$A$1:$A$12, RANDBETWEEN(1, 12))</f>
        <v>Cabitos</v>
      </c>
      <c r="F496" s="3" t="s">
        <v>24</v>
      </c>
      <c r="G496" s="3" t="str" cm="1">
        <f t="array" aca="1" ref="G496" ca="1">INDEX(lista!$B$1:$B$6, RANDBETWEEN(1, 6))</f>
        <v>Torniquete</v>
      </c>
      <c r="H496" s="3" t="str" cm="1">
        <f t="array" aca="1" ref="H496" ca="1">INDEX(lista!$C$1:$C$4, RANDBETWEEN(1, 4))</f>
        <v>Falla eléctrica</v>
      </c>
      <c r="I496" s="3" t="str">
        <f t="shared" ca="1" si="61"/>
        <v>Alta</v>
      </c>
      <c r="J496" s="3" t="str">
        <f t="shared" ca="1" si="62"/>
        <v>Atendida</v>
      </c>
      <c r="K496" s="4">
        <f t="shared" ca="1" si="63"/>
        <v>45278</v>
      </c>
      <c r="L496" s="1">
        <f t="shared" ca="1" si="64"/>
        <v>18</v>
      </c>
      <c r="M496" s="3" t="str">
        <f t="shared" ca="1" si="65"/>
        <v>Telecomunicaciones</v>
      </c>
    </row>
    <row r="497" spans="1:13" x14ac:dyDescent="0.3">
      <c r="A497" s="3">
        <f t="shared" si="59"/>
        <v>496</v>
      </c>
      <c r="B497" s="4">
        <f t="shared" ca="1" si="57"/>
        <v>44939</v>
      </c>
      <c r="C497" s="4" t="str">
        <f t="shared" ca="1" si="60"/>
        <v>2023-01</v>
      </c>
      <c r="D497" s="5">
        <f t="shared" ca="1" si="58"/>
        <v>0.25624999999999998</v>
      </c>
      <c r="E497" s="3" t="str" cm="1">
        <f t="array" aca="1" ref="E497" ca="1">INDEX(lista!$A$1:$A$12, RANDBETWEEN(1, 12))</f>
        <v>Pumacahua</v>
      </c>
      <c r="F497" s="3" t="s">
        <v>24</v>
      </c>
      <c r="G497" s="3" t="str" cm="1">
        <f t="array" aca="1" ref="G497" ca="1">INDEX(lista!$B$1:$B$6, RANDBETWEEN(1, 6))</f>
        <v>MET</v>
      </c>
      <c r="H497" s="3" t="str" cm="1">
        <f t="array" aca="1" ref="H497" ca="1">INDEX(lista!$C$1:$C$4, RANDBETWEEN(1, 4))</f>
        <v>Falla mecánica</v>
      </c>
      <c r="I497" s="3" t="str">
        <f t="shared" ca="1" si="61"/>
        <v>Media</v>
      </c>
      <c r="J497" s="3" t="str">
        <f t="shared" ca="1" si="62"/>
        <v>Atendida</v>
      </c>
      <c r="K497" s="4">
        <f t="shared" ca="1" si="63"/>
        <v>44940</v>
      </c>
      <c r="L497" s="1">
        <f t="shared" ca="1" si="64"/>
        <v>6</v>
      </c>
      <c r="M497" s="3" t="str">
        <f t="shared" ca="1" si="65"/>
        <v>Telecomunicaciones</v>
      </c>
    </row>
    <row r="498" spans="1:13" x14ac:dyDescent="0.3">
      <c r="A498" s="3">
        <f t="shared" si="59"/>
        <v>497</v>
      </c>
      <c r="B498" s="4">
        <f t="shared" ca="1" si="57"/>
        <v>45107</v>
      </c>
      <c r="C498" s="4" t="str">
        <f t="shared" ca="1" si="60"/>
        <v>2023-06</v>
      </c>
      <c r="D498" s="5">
        <f t="shared" ca="1" si="58"/>
        <v>0.48680555555555555</v>
      </c>
      <c r="E498" s="3" t="str" cm="1">
        <f t="array" aca="1" ref="E498" ca="1">INDEX(lista!$A$1:$A$12, RANDBETWEEN(1, 12))</f>
        <v>Bayóvar</v>
      </c>
      <c r="F498" s="3" t="s">
        <v>24</v>
      </c>
      <c r="G498" s="3" t="str" cm="1">
        <f t="array" aca="1" ref="G498" ca="1">INDEX(lista!$B$1:$B$6, RANDBETWEEN(1, 6))</f>
        <v>MET</v>
      </c>
      <c r="H498" s="3" t="str" cm="1">
        <f t="array" aca="1" ref="H498" ca="1">INDEX(lista!$C$1:$C$4, RANDBETWEEN(1, 4))</f>
        <v>Mantenimiento preventivo</v>
      </c>
      <c r="I498" s="3" t="str">
        <f t="shared" ca="1" si="61"/>
        <v>Media</v>
      </c>
      <c r="J498" s="3" t="str">
        <f t="shared" ca="1" si="62"/>
        <v>Atendida</v>
      </c>
      <c r="K498" s="4">
        <f t="shared" ca="1" si="63"/>
        <v>45107</v>
      </c>
      <c r="L498" s="1">
        <f t="shared" ca="1" si="64"/>
        <v>21</v>
      </c>
      <c r="M498" s="3" t="str">
        <f t="shared" ca="1" si="65"/>
        <v>Telecomunicaciones</v>
      </c>
    </row>
    <row r="499" spans="1:13" x14ac:dyDescent="0.3">
      <c r="A499" s="3">
        <f t="shared" si="59"/>
        <v>498</v>
      </c>
      <c r="B499" s="4">
        <f t="shared" ca="1" si="57"/>
        <v>45144</v>
      </c>
      <c r="C499" s="4" t="str">
        <f t="shared" ca="1" si="60"/>
        <v>2023-08</v>
      </c>
      <c r="D499" s="5">
        <f t="shared" ca="1" si="58"/>
        <v>0.32500000000000001</v>
      </c>
      <c r="E499" s="3" t="str" cm="1">
        <f t="array" aca="1" ref="E499" ca="1">INDEX(lista!$A$1:$A$12, RANDBETWEEN(1, 12))</f>
        <v>San Borja Sur</v>
      </c>
      <c r="F499" s="3" t="s">
        <v>24</v>
      </c>
      <c r="G499" s="3" t="str" cm="1">
        <f t="array" aca="1" ref="G499" ca="1">INDEX(lista!$B$1:$B$6, RANDBETWEEN(1, 6))</f>
        <v>MET</v>
      </c>
      <c r="H499" s="3" t="str" cm="1">
        <f t="array" aca="1" ref="H499" ca="1">INDEX(lista!$C$1:$C$4, RANDBETWEEN(1, 4))</f>
        <v>Falla eléctrica</v>
      </c>
      <c r="I499" s="3" t="str">
        <f t="shared" ca="1" si="61"/>
        <v>Baja</v>
      </c>
      <c r="J499" s="3" t="str">
        <f t="shared" ca="1" si="62"/>
        <v>Atendida</v>
      </c>
      <c r="K499" s="4">
        <f t="shared" ca="1" si="63"/>
        <v>45144</v>
      </c>
      <c r="L499" s="1">
        <f t="shared" ca="1" si="64"/>
        <v>6</v>
      </c>
      <c r="M499" s="3" t="str">
        <f t="shared" ca="1" si="65"/>
        <v>Telecomunicaciones</v>
      </c>
    </row>
    <row r="500" spans="1:13" x14ac:dyDescent="0.3">
      <c r="A500" s="3">
        <f t="shared" si="59"/>
        <v>499</v>
      </c>
      <c r="B500" s="4">
        <f t="shared" ca="1" si="57"/>
        <v>45502</v>
      </c>
      <c r="C500" s="4" t="str">
        <f t="shared" ca="1" si="60"/>
        <v>2024-07</v>
      </c>
      <c r="D500" s="5">
        <f t="shared" ca="1" si="58"/>
        <v>0.58819444444444446</v>
      </c>
      <c r="E500" s="3" t="str" cm="1">
        <f t="array" aca="1" ref="E500" ca="1">INDEX(lista!$A$1:$A$12, RANDBETWEEN(1, 12))</f>
        <v>Santa Rosa</v>
      </c>
      <c r="F500" s="3" t="s">
        <v>24</v>
      </c>
      <c r="G500" s="3" t="str" cm="1">
        <f t="array" aca="1" ref="G500" ca="1">INDEX(lista!$B$1:$B$6, RANDBETWEEN(1, 6))</f>
        <v>TVM</v>
      </c>
      <c r="H500" s="3" t="str" cm="1">
        <f t="array" aca="1" ref="H500" ca="1">INDEX(lista!$C$1:$C$4, RANDBETWEEN(1, 4))</f>
        <v>Daño en infraestructura</v>
      </c>
      <c r="I500" s="3" t="str">
        <f t="shared" ca="1" si="61"/>
        <v>Baja</v>
      </c>
      <c r="J500" s="3" t="str">
        <f t="shared" ca="1" si="62"/>
        <v>Pendiente</v>
      </c>
      <c r="K500" s="4" t="str">
        <f t="shared" ca="1" si="63"/>
        <v/>
      </c>
      <c r="L500" s="1" t="str">
        <f t="shared" ca="1" si="64"/>
        <v/>
      </c>
      <c r="M500" s="3" t="str">
        <f t="shared" ca="1" si="65"/>
        <v>Telecomunicaciones</v>
      </c>
    </row>
    <row r="501" spans="1:13" x14ac:dyDescent="0.3">
      <c r="A501" s="3">
        <f t="shared" si="59"/>
        <v>500</v>
      </c>
      <c r="B501" s="4">
        <f t="shared" ca="1" si="57"/>
        <v>45634</v>
      </c>
      <c r="C501" s="4" t="str">
        <f t="shared" ca="1" si="60"/>
        <v>2024-12</v>
      </c>
      <c r="D501" s="5">
        <f t="shared" ca="1" si="58"/>
        <v>0.67708333333333326</v>
      </c>
      <c r="E501" s="3" t="str" cm="1">
        <f t="array" aca="1" ref="E501" ca="1">INDEX(lista!$A$1:$A$12, RANDBETWEEN(1, 12))</f>
        <v>Pumacahua</v>
      </c>
      <c r="F501" s="3" t="s">
        <v>24</v>
      </c>
      <c r="G501" s="3" t="str" cm="1">
        <f t="array" aca="1" ref="G501" ca="1">INDEX(lista!$B$1:$B$6, RANDBETWEEN(1, 6))</f>
        <v>Radio</v>
      </c>
      <c r="H501" s="3" t="str" cm="1">
        <f t="array" aca="1" ref="H501" ca="1">INDEX(lista!$C$1:$C$4, RANDBETWEEN(1, 4))</f>
        <v>Falla mecánica</v>
      </c>
      <c r="I501" s="3" t="str">
        <f t="shared" ca="1" si="61"/>
        <v>Media</v>
      </c>
      <c r="J501" s="3" t="str">
        <f t="shared" ca="1" si="62"/>
        <v>Atendida</v>
      </c>
      <c r="K501" s="4">
        <f t="shared" ca="1" si="63"/>
        <v>45635</v>
      </c>
      <c r="L501" s="1">
        <f t="shared" ca="1" si="64"/>
        <v>1</v>
      </c>
      <c r="M501" s="3" t="str">
        <f t="shared" ca="1" si="65"/>
        <v>Telecomunicaciones</v>
      </c>
    </row>
  </sheetData>
  <autoFilter ref="A1:M501" xr:uid="{25B5C189-376E-408A-B55D-485C10D36AC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5C189-376E-408A-B55D-485C10D36ACC}">
  <dimension ref="A1:M501"/>
  <sheetViews>
    <sheetView tabSelected="1" workbookViewId="0">
      <selection activeCell="D3" sqref="D3"/>
    </sheetView>
  </sheetViews>
  <sheetFormatPr baseColWidth="10" defaultRowHeight="14.4" x14ac:dyDescent="0.3"/>
  <cols>
    <col min="1" max="1" width="14.5546875" customWidth="1"/>
    <col min="2" max="3" width="15" customWidth="1"/>
    <col min="4" max="4" width="18.5546875" customWidth="1"/>
    <col min="5" max="5" width="13.44140625" bestFit="1" customWidth="1"/>
    <col min="6" max="6" width="13.33203125" customWidth="1"/>
    <col min="7" max="7" width="20.6640625" customWidth="1"/>
    <col min="8" max="8" width="27" customWidth="1"/>
    <col min="9" max="9" width="13.21875" customWidth="1"/>
    <col min="11" max="11" width="14.109375" customWidth="1"/>
    <col min="12" max="12" width="20.5546875" customWidth="1"/>
    <col min="13" max="13" width="24.88671875" customWidth="1"/>
  </cols>
  <sheetData>
    <row r="1" spans="1:13" x14ac:dyDescent="0.3">
      <c r="A1" s="2" t="s">
        <v>0</v>
      </c>
      <c r="B1" s="2" t="s">
        <v>1</v>
      </c>
      <c r="C1" s="2" t="s">
        <v>45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3" x14ac:dyDescent="0.3">
      <c r="A2" s="3">
        <v>1</v>
      </c>
      <c r="B2" s="4">
        <v>45255</v>
      </c>
      <c r="C2" s="4" t="s">
        <v>46</v>
      </c>
      <c r="D2" s="5">
        <v>7.7777777777777779E-2</v>
      </c>
      <c r="E2" s="3" t="s">
        <v>33</v>
      </c>
      <c r="F2" s="3" t="s">
        <v>24</v>
      </c>
      <c r="G2" s="3" t="s">
        <v>13</v>
      </c>
      <c r="H2" s="3" t="s">
        <v>16</v>
      </c>
      <c r="I2" s="3" t="s">
        <v>17</v>
      </c>
      <c r="J2" s="3" t="s">
        <v>21</v>
      </c>
      <c r="K2" s="4" t="s">
        <v>42</v>
      </c>
      <c r="L2" s="1" t="s">
        <v>42</v>
      </c>
      <c r="M2" s="3" t="s">
        <v>25</v>
      </c>
    </row>
    <row r="3" spans="1:13" x14ac:dyDescent="0.3">
      <c r="A3" s="3">
        <v>2</v>
      </c>
      <c r="B3" s="4">
        <v>45423</v>
      </c>
      <c r="C3" s="4" t="s">
        <v>47</v>
      </c>
      <c r="D3" s="5">
        <v>0.18055555555555555</v>
      </c>
      <c r="E3" s="3" t="s">
        <v>30</v>
      </c>
      <c r="F3" s="3" t="s">
        <v>24</v>
      </c>
      <c r="G3" s="3" t="s">
        <v>14</v>
      </c>
      <c r="H3" s="3" t="s">
        <v>40</v>
      </c>
      <c r="I3" s="3" t="s">
        <v>18</v>
      </c>
      <c r="J3" s="3" t="s">
        <v>22</v>
      </c>
      <c r="K3" s="4">
        <v>45424</v>
      </c>
      <c r="L3" s="1">
        <v>10</v>
      </c>
      <c r="M3" s="3" t="s">
        <v>43</v>
      </c>
    </row>
    <row r="4" spans="1:13" x14ac:dyDescent="0.3">
      <c r="A4" s="3">
        <v>3</v>
      </c>
      <c r="B4" s="4">
        <v>44988</v>
      </c>
      <c r="C4" s="4" t="s">
        <v>48</v>
      </c>
      <c r="D4" s="5">
        <v>0.74027777777777781</v>
      </c>
      <c r="E4" s="3" t="s">
        <v>30</v>
      </c>
      <c r="F4" s="3" t="s">
        <v>24</v>
      </c>
      <c r="G4" s="3" t="s">
        <v>39</v>
      </c>
      <c r="H4" s="3" t="s">
        <v>41</v>
      </c>
      <c r="I4" s="3" t="s">
        <v>19</v>
      </c>
      <c r="J4" s="3" t="s">
        <v>22</v>
      </c>
      <c r="K4" s="4">
        <v>44990</v>
      </c>
      <c r="L4" s="1">
        <v>4</v>
      </c>
      <c r="M4" s="3" t="s">
        <v>43</v>
      </c>
    </row>
    <row r="5" spans="1:13" x14ac:dyDescent="0.3">
      <c r="A5" s="3">
        <v>4</v>
      </c>
      <c r="B5" s="4">
        <v>44954</v>
      </c>
      <c r="C5" s="4" t="s">
        <v>49</v>
      </c>
      <c r="D5" s="5">
        <v>0.65486111111111112</v>
      </c>
      <c r="E5" s="3" t="s">
        <v>30</v>
      </c>
      <c r="F5" s="3" t="s">
        <v>24</v>
      </c>
      <c r="G5" s="3" t="s">
        <v>12</v>
      </c>
      <c r="H5" s="3" t="s">
        <v>15</v>
      </c>
      <c r="I5" s="3" t="s">
        <v>19</v>
      </c>
      <c r="J5" s="3" t="s">
        <v>22</v>
      </c>
      <c r="K5" s="4">
        <v>44954</v>
      </c>
      <c r="L5" s="1">
        <v>13</v>
      </c>
      <c r="M5" s="3" t="s">
        <v>25</v>
      </c>
    </row>
    <row r="6" spans="1:13" x14ac:dyDescent="0.3">
      <c r="A6" s="3">
        <v>5</v>
      </c>
      <c r="B6" s="4">
        <v>45092</v>
      </c>
      <c r="C6" s="4" t="s">
        <v>50</v>
      </c>
      <c r="D6" s="5">
        <v>5.0694444444444445E-2</v>
      </c>
      <c r="E6" s="3" t="s">
        <v>23</v>
      </c>
      <c r="F6" s="3" t="s">
        <v>24</v>
      </c>
      <c r="G6" s="3" t="s">
        <v>39</v>
      </c>
      <c r="H6" s="3" t="s">
        <v>41</v>
      </c>
      <c r="I6" s="3" t="s">
        <v>19</v>
      </c>
      <c r="J6" s="3" t="s">
        <v>22</v>
      </c>
      <c r="K6" s="4">
        <v>45094</v>
      </c>
      <c r="L6" s="1">
        <v>12</v>
      </c>
      <c r="M6" s="3" t="s">
        <v>43</v>
      </c>
    </row>
    <row r="7" spans="1:13" x14ac:dyDescent="0.3">
      <c r="A7" s="3">
        <v>6</v>
      </c>
      <c r="B7" s="4">
        <v>45010</v>
      </c>
      <c r="C7" s="4" t="s">
        <v>48</v>
      </c>
      <c r="D7" s="5">
        <v>0.32222222222222224</v>
      </c>
      <c r="E7" s="3" t="s">
        <v>33</v>
      </c>
      <c r="F7" s="3" t="s">
        <v>24</v>
      </c>
      <c r="G7" s="3" t="s">
        <v>38</v>
      </c>
      <c r="H7" s="3" t="s">
        <v>16</v>
      </c>
      <c r="I7" s="3" t="s">
        <v>18</v>
      </c>
      <c r="J7" s="3" t="s">
        <v>22</v>
      </c>
      <c r="K7" s="4">
        <v>45011</v>
      </c>
      <c r="L7" s="1">
        <v>14</v>
      </c>
      <c r="M7" s="3" t="s">
        <v>43</v>
      </c>
    </row>
    <row r="8" spans="1:13" x14ac:dyDescent="0.3">
      <c r="A8" s="3">
        <v>7</v>
      </c>
      <c r="B8" s="4">
        <v>45239</v>
      </c>
      <c r="C8" s="4" t="s">
        <v>46</v>
      </c>
      <c r="D8" s="5">
        <v>8.3333333333333332E-3</v>
      </c>
      <c r="E8" s="3" t="s">
        <v>26</v>
      </c>
      <c r="F8" s="3" t="s">
        <v>24</v>
      </c>
      <c r="G8" s="3" t="s">
        <v>39</v>
      </c>
      <c r="H8" s="3" t="s">
        <v>15</v>
      </c>
      <c r="I8" s="3" t="s">
        <v>17</v>
      </c>
      <c r="J8" s="3" t="s">
        <v>22</v>
      </c>
      <c r="K8" s="4">
        <v>45239</v>
      </c>
      <c r="L8" s="1">
        <v>5</v>
      </c>
      <c r="M8" s="3" t="s">
        <v>43</v>
      </c>
    </row>
    <row r="9" spans="1:13" x14ac:dyDescent="0.3">
      <c r="A9" s="3">
        <v>8</v>
      </c>
      <c r="B9" s="4">
        <v>45182</v>
      </c>
      <c r="C9" s="4" t="s">
        <v>51</v>
      </c>
      <c r="D9" s="5">
        <v>0.81527777777777777</v>
      </c>
      <c r="E9" s="3" t="s">
        <v>30</v>
      </c>
      <c r="F9" s="3" t="s">
        <v>24</v>
      </c>
      <c r="G9" s="3" t="s">
        <v>39</v>
      </c>
      <c r="H9" s="3" t="s">
        <v>15</v>
      </c>
      <c r="I9" s="3" t="s">
        <v>19</v>
      </c>
      <c r="J9" s="3" t="s">
        <v>22</v>
      </c>
      <c r="K9" s="4">
        <v>45184</v>
      </c>
      <c r="L9" s="1">
        <v>23</v>
      </c>
      <c r="M9" s="3" t="s">
        <v>43</v>
      </c>
    </row>
    <row r="10" spans="1:13" x14ac:dyDescent="0.3">
      <c r="A10" s="3">
        <v>9</v>
      </c>
      <c r="B10" s="4">
        <v>45293</v>
      </c>
      <c r="C10" s="4" t="s">
        <v>52</v>
      </c>
      <c r="D10" s="5">
        <v>0.57916666666666661</v>
      </c>
      <c r="E10" s="3" t="s">
        <v>30</v>
      </c>
      <c r="F10" s="3" t="s">
        <v>24</v>
      </c>
      <c r="G10" s="3" t="s">
        <v>39</v>
      </c>
      <c r="H10" s="3" t="s">
        <v>15</v>
      </c>
      <c r="I10" s="3" t="s">
        <v>18</v>
      </c>
      <c r="J10" s="3" t="s">
        <v>22</v>
      </c>
      <c r="K10" s="4">
        <v>45294</v>
      </c>
      <c r="L10" s="1">
        <v>14</v>
      </c>
      <c r="M10" s="3" t="s">
        <v>43</v>
      </c>
    </row>
    <row r="11" spans="1:13" x14ac:dyDescent="0.3">
      <c r="A11" s="3">
        <v>10</v>
      </c>
      <c r="B11" s="4">
        <v>45115</v>
      </c>
      <c r="C11" s="4" t="s">
        <v>53</v>
      </c>
      <c r="D11" s="5">
        <v>0.55624999999999991</v>
      </c>
      <c r="E11" s="3" t="s">
        <v>33</v>
      </c>
      <c r="F11" s="3" t="s">
        <v>24</v>
      </c>
      <c r="G11" s="3" t="s">
        <v>13</v>
      </c>
      <c r="H11" s="3" t="s">
        <v>15</v>
      </c>
      <c r="I11" s="3" t="s">
        <v>17</v>
      </c>
      <c r="J11" s="3" t="s">
        <v>22</v>
      </c>
      <c r="K11" s="4">
        <v>45117</v>
      </c>
      <c r="L11" s="1">
        <v>5</v>
      </c>
      <c r="M11" s="3" t="s">
        <v>25</v>
      </c>
    </row>
    <row r="12" spans="1:13" x14ac:dyDescent="0.3">
      <c r="A12" s="3">
        <v>11</v>
      </c>
      <c r="B12" s="4">
        <v>45065</v>
      </c>
      <c r="C12" s="4" t="s">
        <v>54</v>
      </c>
      <c r="D12" s="5">
        <v>0.73958333333333337</v>
      </c>
      <c r="E12" s="3" t="s">
        <v>23</v>
      </c>
      <c r="F12" s="3" t="s">
        <v>24</v>
      </c>
      <c r="G12" s="3" t="s">
        <v>39</v>
      </c>
      <c r="H12" s="3" t="s">
        <v>16</v>
      </c>
      <c r="I12" s="3" t="s">
        <v>19</v>
      </c>
      <c r="J12" s="3" t="s">
        <v>22</v>
      </c>
      <c r="K12" s="4">
        <v>45065</v>
      </c>
      <c r="L12" s="1">
        <v>4</v>
      </c>
      <c r="M12" s="3" t="s">
        <v>43</v>
      </c>
    </row>
    <row r="13" spans="1:13" x14ac:dyDescent="0.3">
      <c r="A13" s="3">
        <v>12</v>
      </c>
      <c r="B13" s="4">
        <v>45037</v>
      </c>
      <c r="C13" s="4" t="s">
        <v>55</v>
      </c>
      <c r="D13" s="5">
        <v>0.2951388888888889</v>
      </c>
      <c r="E13" s="3" t="s">
        <v>35</v>
      </c>
      <c r="F13" s="3" t="s">
        <v>24</v>
      </c>
      <c r="G13" s="3" t="s">
        <v>13</v>
      </c>
      <c r="H13" s="3" t="s">
        <v>15</v>
      </c>
      <c r="I13" s="3" t="s">
        <v>19</v>
      </c>
      <c r="J13" s="3" t="s">
        <v>22</v>
      </c>
      <c r="K13" s="4">
        <v>45039</v>
      </c>
      <c r="L13" s="1">
        <v>2</v>
      </c>
      <c r="M13" s="3" t="s">
        <v>25</v>
      </c>
    </row>
    <row r="14" spans="1:13" x14ac:dyDescent="0.3">
      <c r="A14" s="3">
        <v>13</v>
      </c>
      <c r="B14" s="4">
        <v>45212</v>
      </c>
      <c r="C14" s="4" t="s">
        <v>56</v>
      </c>
      <c r="D14" s="5">
        <v>0.25208333333333333</v>
      </c>
      <c r="E14" s="3" t="s">
        <v>29</v>
      </c>
      <c r="F14" s="3" t="s">
        <v>24</v>
      </c>
      <c r="G14" s="3" t="s">
        <v>14</v>
      </c>
      <c r="H14" s="3" t="s">
        <v>15</v>
      </c>
      <c r="I14" s="3" t="s">
        <v>18</v>
      </c>
      <c r="J14" s="3" t="s">
        <v>20</v>
      </c>
      <c r="K14" s="4" t="s">
        <v>42</v>
      </c>
      <c r="L14" s="1" t="s">
        <v>42</v>
      </c>
      <c r="M14" s="3" t="s">
        <v>43</v>
      </c>
    </row>
    <row r="15" spans="1:13" x14ac:dyDescent="0.3">
      <c r="A15" s="3">
        <v>14</v>
      </c>
      <c r="B15" s="4">
        <v>45384</v>
      </c>
      <c r="C15" s="4" t="s">
        <v>57</v>
      </c>
      <c r="D15" s="5">
        <v>0.98819444444444449</v>
      </c>
      <c r="E15" s="3" t="s">
        <v>33</v>
      </c>
      <c r="F15" s="3" t="s">
        <v>24</v>
      </c>
      <c r="G15" s="3" t="s">
        <v>12</v>
      </c>
      <c r="H15" s="3" t="s">
        <v>41</v>
      </c>
      <c r="I15" s="3" t="s">
        <v>17</v>
      </c>
      <c r="J15" s="3" t="s">
        <v>22</v>
      </c>
      <c r="K15" s="4">
        <v>45385</v>
      </c>
      <c r="L15" s="1">
        <v>19</v>
      </c>
      <c r="M15" s="3" t="s">
        <v>25</v>
      </c>
    </row>
    <row r="16" spans="1:13" x14ac:dyDescent="0.3">
      <c r="A16" s="3">
        <v>15</v>
      </c>
      <c r="B16" s="4">
        <v>45458</v>
      </c>
      <c r="C16" s="4" t="s">
        <v>58</v>
      </c>
      <c r="D16" s="5">
        <v>0.24375000000000002</v>
      </c>
      <c r="E16" s="3" t="s">
        <v>27</v>
      </c>
      <c r="F16" s="3" t="s">
        <v>24</v>
      </c>
      <c r="G16" s="3" t="s">
        <v>14</v>
      </c>
      <c r="H16" s="3" t="s">
        <v>16</v>
      </c>
      <c r="I16" s="3" t="s">
        <v>18</v>
      </c>
      <c r="J16" s="3" t="s">
        <v>22</v>
      </c>
      <c r="K16" s="4">
        <v>45459</v>
      </c>
      <c r="L16" s="1">
        <v>23</v>
      </c>
      <c r="M16" s="3" t="s">
        <v>43</v>
      </c>
    </row>
    <row r="17" spans="1:13" x14ac:dyDescent="0.3">
      <c r="A17" s="3">
        <v>16</v>
      </c>
      <c r="B17" s="4">
        <v>45643</v>
      </c>
      <c r="C17" s="4" t="s">
        <v>59</v>
      </c>
      <c r="D17" s="5">
        <v>0.20972222222222223</v>
      </c>
      <c r="E17" s="3" t="s">
        <v>23</v>
      </c>
      <c r="F17" s="3" t="s">
        <v>24</v>
      </c>
      <c r="G17" s="3" t="s">
        <v>12</v>
      </c>
      <c r="H17" s="3" t="s">
        <v>41</v>
      </c>
      <c r="I17" s="3" t="s">
        <v>17</v>
      </c>
      <c r="J17" s="3" t="s">
        <v>21</v>
      </c>
      <c r="K17" s="4" t="s">
        <v>42</v>
      </c>
      <c r="L17" s="1" t="s">
        <v>42</v>
      </c>
      <c r="M17" s="3" t="s">
        <v>25</v>
      </c>
    </row>
    <row r="18" spans="1:13" x14ac:dyDescent="0.3">
      <c r="A18" s="3">
        <v>17</v>
      </c>
      <c r="B18" s="4">
        <v>44930</v>
      </c>
      <c r="C18" s="4" t="s">
        <v>49</v>
      </c>
      <c r="D18" s="5">
        <v>0.89722222222222225</v>
      </c>
      <c r="E18" s="3" t="s">
        <v>34</v>
      </c>
      <c r="F18" s="3" t="s">
        <v>24</v>
      </c>
      <c r="G18" s="3" t="s">
        <v>39</v>
      </c>
      <c r="H18" s="3" t="s">
        <v>41</v>
      </c>
      <c r="I18" s="3" t="s">
        <v>19</v>
      </c>
      <c r="J18" s="3" t="s">
        <v>22</v>
      </c>
      <c r="K18" s="4">
        <v>44930</v>
      </c>
      <c r="L18" s="1">
        <v>1</v>
      </c>
      <c r="M18" s="3" t="s">
        <v>43</v>
      </c>
    </row>
    <row r="19" spans="1:13" x14ac:dyDescent="0.3">
      <c r="A19" s="3">
        <v>18</v>
      </c>
      <c r="B19" s="4">
        <v>45288</v>
      </c>
      <c r="C19" s="4" t="s">
        <v>60</v>
      </c>
      <c r="D19" s="5">
        <v>0.25208333333333333</v>
      </c>
      <c r="E19" s="3" t="s">
        <v>26</v>
      </c>
      <c r="F19" s="3" t="s">
        <v>24</v>
      </c>
      <c r="G19" s="3" t="s">
        <v>13</v>
      </c>
      <c r="H19" s="3" t="s">
        <v>41</v>
      </c>
      <c r="I19" s="3" t="s">
        <v>17</v>
      </c>
      <c r="J19" s="3" t="s">
        <v>21</v>
      </c>
      <c r="K19" s="4" t="s">
        <v>42</v>
      </c>
      <c r="L19" s="1" t="s">
        <v>42</v>
      </c>
      <c r="M19" s="3" t="s">
        <v>25</v>
      </c>
    </row>
    <row r="20" spans="1:13" x14ac:dyDescent="0.3">
      <c r="A20" s="3">
        <v>19</v>
      </c>
      <c r="B20" s="4">
        <v>45426</v>
      </c>
      <c r="C20" s="4" t="s">
        <v>47</v>
      </c>
      <c r="D20" s="5">
        <v>0.14791666666666667</v>
      </c>
      <c r="E20" s="3" t="s">
        <v>36</v>
      </c>
      <c r="F20" s="3" t="s">
        <v>24</v>
      </c>
      <c r="G20" s="3" t="s">
        <v>37</v>
      </c>
      <c r="H20" s="3" t="s">
        <v>15</v>
      </c>
      <c r="I20" s="3" t="s">
        <v>17</v>
      </c>
      <c r="J20" s="3" t="s">
        <v>22</v>
      </c>
      <c r="K20" s="4">
        <v>45427</v>
      </c>
      <c r="L20" s="1">
        <v>11</v>
      </c>
      <c r="M20" s="3" t="s">
        <v>43</v>
      </c>
    </row>
    <row r="21" spans="1:13" x14ac:dyDescent="0.3">
      <c r="A21" s="3">
        <v>20</v>
      </c>
      <c r="B21" s="4">
        <v>45444</v>
      </c>
      <c r="C21" s="4" t="s">
        <v>58</v>
      </c>
      <c r="D21" s="5">
        <v>0.62083333333333335</v>
      </c>
      <c r="E21" s="3" t="s">
        <v>28</v>
      </c>
      <c r="F21" s="3" t="s">
        <v>24</v>
      </c>
      <c r="G21" s="3" t="s">
        <v>38</v>
      </c>
      <c r="H21" s="3" t="s">
        <v>16</v>
      </c>
      <c r="I21" s="3" t="s">
        <v>19</v>
      </c>
      <c r="J21" s="3" t="s">
        <v>20</v>
      </c>
      <c r="K21" s="4" t="s">
        <v>42</v>
      </c>
      <c r="L21" s="1" t="s">
        <v>42</v>
      </c>
      <c r="M21" s="3" t="s">
        <v>43</v>
      </c>
    </row>
    <row r="22" spans="1:13" x14ac:dyDescent="0.3">
      <c r="A22" s="3">
        <v>21</v>
      </c>
      <c r="B22" s="4">
        <v>45133</v>
      </c>
      <c r="C22" s="4" t="s">
        <v>53</v>
      </c>
      <c r="D22" s="5">
        <v>0.89583333333333337</v>
      </c>
      <c r="E22" s="3" t="s">
        <v>31</v>
      </c>
      <c r="F22" s="3" t="s">
        <v>24</v>
      </c>
      <c r="G22" s="3" t="s">
        <v>38</v>
      </c>
      <c r="H22" s="3" t="s">
        <v>41</v>
      </c>
      <c r="I22" s="3" t="s">
        <v>17</v>
      </c>
      <c r="J22" s="3" t="s">
        <v>22</v>
      </c>
      <c r="K22" s="4">
        <v>45135</v>
      </c>
      <c r="L22" s="1">
        <v>9</v>
      </c>
      <c r="M22" s="3" t="s">
        <v>43</v>
      </c>
    </row>
    <row r="23" spans="1:13" x14ac:dyDescent="0.3">
      <c r="A23" s="3">
        <v>22</v>
      </c>
      <c r="B23" s="4">
        <v>45214</v>
      </c>
      <c r="C23" s="4" t="s">
        <v>56</v>
      </c>
      <c r="D23" s="5">
        <v>0.3520833333333333</v>
      </c>
      <c r="E23" s="3" t="s">
        <v>29</v>
      </c>
      <c r="F23" s="3" t="s">
        <v>24</v>
      </c>
      <c r="G23" s="3" t="s">
        <v>37</v>
      </c>
      <c r="H23" s="3" t="s">
        <v>15</v>
      </c>
      <c r="I23" s="3" t="s">
        <v>19</v>
      </c>
      <c r="J23" s="3" t="s">
        <v>20</v>
      </c>
      <c r="K23" s="4" t="s">
        <v>42</v>
      </c>
      <c r="L23" s="1" t="s">
        <v>42</v>
      </c>
      <c r="M23" s="3" t="s">
        <v>43</v>
      </c>
    </row>
    <row r="24" spans="1:13" x14ac:dyDescent="0.3">
      <c r="A24" s="3">
        <v>23</v>
      </c>
      <c r="B24" s="4">
        <v>44973</v>
      </c>
      <c r="C24" s="4" t="s">
        <v>61</v>
      </c>
      <c r="D24" s="5">
        <v>0.3888888888888889</v>
      </c>
      <c r="E24" s="3" t="s">
        <v>28</v>
      </c>
      <c r="F24" s="3" t="s">
        <v>24</v>
      </c>
      <c r="G24" s="3" t="s">
        <v>13</v>
      </c>
      <c r="H24" s="3" t="s">
        <v>16</v>
      </c>
      <c r="I24" s="3" t="s">
        <v>18</v>
      </c>
      <c r="J24" s="3" t="s">
        <v>22</v>
      </c>
      <c r="K24" s="4">
        <v>44975</v>
      </c>
      <c r="L24" s="1">
        <v>19</v>
      </c>
      <c r="M24" s="3" t="s">
        <v>25</v>
      </c>
    </row>
    <row r="25" spans="1:13" x14ac:dyDescent="0.3">
      <c r="A25" s="3">
        <v>24</v>
      </c>
      <c r="B25" s="4">
        <v>45055</v>
      </c>
      <c r="C25" s="4" t="s">
        <v>54</v>
      </c>
      <c r="D25" s="5">
        <v>0.49861111111111112</v>
      </c>
      <c r="E25" s="3" t="s">
        <v>26</v>
      </c>
      <c r="F25" s="3" t="s">
        <v>24</v>
      </c>
      <c r="G25" s="3" t="s">
        <v>12</v>
      </c>
      <c r="H25" s="3" t="s">
        <v>15</v>
      </c>
      <c r="I25" s="3" t="s">
        <v>18</v>
      </c>
      <c r="J25" s="3" t="s">
        <v>22</v>
      </c>
      <c r="K25" s="4">
        <v>45057</v>
      </c>
      <c r="L25" s="1">
        <v>12</v>
      </c>
      <c r="M25" s="3" t="s">
        <v>25</v>
      </c>
    </row>
    <row r="26" spans="1:13" x14ac:dyDescent="0.3">
      <c r="A26" s="3">
        <v>25</v>
      </c>
      <c r="B26" s="4">
        <v>45369</v>
      </c>
      <c r="C26" s="4" t="s">
        <v>62</v>
      </c>
      <c r="D26" s="5">
        <v>2.1527777777777778E-2</v>
      </c>
      <c r="E26" s="3" t="s">
        <v>29</v>
      </c>
      <c r="F26" s="3" t="s">
        <v>24</v>
      </c>
      <c r="G26" s="3" t="s">
        <v>13</v>
      </c>
      <c r="H26" s="3" t="s">
        <v>41</v>
      </c>
      <c r="I26" s="3" t="s">
        <v>17</v>
      </c>
      <c r="J26" s="3" t="s">
        <v>22</v>
      </c>
      <c r="K26" s="4">
        <v>45371</v>
      </c>
      <c r="L26" s="1">
        <v>19</v>
      </c>
      <c r="M26" s="3" t="s">
        <v>25</v>
      </c>
    </row>
    <row r="27" spans="1:13" x14ac:dyDescent="0.3">
      <c r="A27" s="3">
        <v>26</v>
      </c>
      <c r="B27" s="4">
        <v>45314</v>
      </c>
      <c r="C27" s="4" t="s">
        <v>52</v>
      </c>
      <c r="D27" s="5">
        <v>5.5555555555555558E-3</v>
      </c>
      <c r="E27" s="3" t="s">
        <v>29</v>
      </c>
      <c r="F27" s="3" t="s">
        <v>24</v>
      </c>
      <c r="G27" s="3" t="s">
        <v>38</v>
      </c>
      <c r="H27" s="3" t="s">
        <v>15</v>
      </c>
      <c r="I27" s="3" t="s">
        <v>19</v>
      </c>
      <c r="J27" s="3" t="s">
        <v>22</v>
      </c>
      <c r="K27" s="4">
        <v>45316</v>
      </c>
      <c r="L27" s="1">
        <v>4</v>
      </c>
      <c r="M27" s="3" t="s">
        <v>43</v>
      </c>
    </row>
    <row r="28" spans="1:13" x14ac:dyDescent="0.3">
      <c r="A28" s="3">
        <v>27</v>
      </c>
      <c r="B28" s="4">
        <v>44955</v>
      </c>
      <c r="C28" s="4" t="s">
        <v>49</v>
      </c>
      <c r="D28" s="5">
        <v>0.58055555555555549</v>
      </c>
      <c r="E28" s="3" t="s">
        <v>29</v>
      </c>
      <c r="F28" s="3" t="s">
        <v>24</v>
      </c>
      <c r="G28" s="3" t="s">
        <v>38</v>
      </c>
      <c r="H28" s="3" t="s">
        <v>40</v>
      </c>
      <c r="I28" s="3" t="s">
        <v>18</v>
      </c>
      <c r="J28" s="3" t="s">
        <v>21</v>
      </c>
      <c r="K28" s="4" t="s">
        <v>42</v>
      </c>
      <c r="L28" s="1" t="s">
        <v>42</v>
      </c>
      <c r="M28" s="3" t="s">
        <v>43</v>
      </c>
    </row>
    <row r="29" spans="1:13" x14ac:dyDescent="0.3">
      <c r="A29" s="3">
        <v>28</v>
      </c>
      <c r="B29" s="4">
        <v>45190</v>
      </c>
      <c r="C29" s="4" t="s">
        <v>51</v>
      </c>
      <c r="D29" s="5">
        <v>0.98333333333333339</v>
      </c>
      <c r="E29" s="3" t="s">
        <v>31</v>
      </c>
      <c r="F29" s="3" t="s">
        <v>24</v>
      </c>
      <c r="G29" s="3" t="s">
        <v>14</v>
      </c>
      <c r="H29" s="3" t="s">
        <v>15</v>
      </c>
      <c r="I29" s="3" t="s">
        <v>19</v>
      </c>
      <c r="J29" s="3" t="s">
        <v>22</v>
      </c>
      <c r="K29" s="4">
        <v>45192</v>
      </c>
      <c r="L29" s="1">
        <v>2</v>
      </c>
      <c r="M29" s="3" t="s">
        <v>43</v>
      </c>
    </row>
    <row r="30" spans="1:13" x14ac:dyDescent="0.3">
      <c r="A30" s="3">
        <v>29</v>
      </c>
      <c r="B30" s="4">
        <v>45424</v>
      </c>
      <c r="C30" s="4" t="s">
        <v>47</v>
      </c>
      <c r="D30" s="5">
        <v>0.31111111111111112</v>
      </c>
      <c r="E30" s="3" t="s">
        <v>26</v>
      </c>
      <c r="F30" s="3" t="s">
        <v>24</v>
      </c>
      <c r="G30" s="3" t="s">
        <v>14</v>
      </c>
      <c r="H30" s="3" t="s">
        <v>16</v>
      </c>
      <c r="I30" s="3" t="s">
        <v>17</v>
      </c>
      <c r="J30" s="3" t="s">
        <v>21</v>
      </c>
      <c r="K30" s="4" t="s">
        <v>42</v>
      </c>
      <c r="L30" s="1" t="s">
        <v>42</v>
      </c>
      <c r="M30" s="3" t="s">
        <v>43</v>
      </c>
    </row>
    <row r="31" spans="1:13" x14ac:dyDescent="0.3">
      <c r="A31" s="3">
        <v>30</v>
      </c>
      <c r="B31" s="4">
        <v>45638</v>
      </c>
      <c r="C31" s="4" t="s">
        <v>59</v>
      </c>
      <c r="D31" s="5">
        <v>0.24305555555555558</v>
      </c>
      <c r="E31" s="3" t="s">
        <v>31</v>
      </c>
      <c r="F31" s="3" t="s">
        <v>24</v>
      </c>
      <c r="G31" s="3" t="s">
        <v>14</v>
      </c>
      <c r="H31" s="3" t="s">
        <v>40</v>
      </c>
      <c r="I31" s="3" t="s">
        <v>17</v>
      </c>
      <c r="J31" s="3" t="s">
        <v>22</v>
      </c>
      <c r="K31" s="4">
        <v>45639</v>
      </c>
      <c r="L31" s="1">
        <v>23</v>
      </c>
      <c r="M31" s="3" t="s">
        <v>43</v>
      </c>
    </row>
    <row r="32" spans="1:13" x14ac:dyDescent="0.3">
      <c r="A32" s="3">
        <v>31</v>
      </c>
      <c r="B32" s="4">
        <v>44994</v>
      </c>
      <c r="C32" s="4" t="s">
        <v>48</v>
      </c>
      <c r="D32" s="5">
        <v>0.43333333333333335</v>
      </c>
      <c r="E32" s="3" t="s">
        <v>35</v>
      </c>
      <c r="F32" s="3" t="s">
        <v>24</v>
      </c>
      <c r="G32" s="3" t="s">
        <v>39</v>
      </c>
      <c r="H32" s="3" t="s">
        <v>41</v>
      </c>
      <c r="I32" s="3" t="s">
        <v>18</v>
      </c>
      <c r="J32" s="3" t="s">
        <v>22</v>
      </c>
      <c r="K32" s="4">
        <v>44996</v>
      </c>
      <c r="L32" s="1">
        <v>22</v>
      </c>
      <c r="M32" s="3" t="s">
        <v>43</v>
      </c>
    </row>
    <row r="33" spans="1:13" x14ac:dyDescent="0.3">
      <c r="A33" s="3">
        <v>32</v>
      </c>
      <c r="B33" s="4">
        <v>44963</v>
      </c>
      <c r="C33" s="4" t="s">
        <v>61</v>
      </c>
      <c r="D33" s="5">
        <v>0.85694444444444451</v>
      </c>
      <c r="E33" s="3" t="s">
        <v>30</v>
      </c>
      <c r="F33" s="3" t="s">
        <v>24</v>
      </c>
      <c r="G33" s="3" t="s">
        <v>37</v>
      </c>
      <c r="H33" s="3" t="s">
        <v>41</v>
      </c>
      <c r="I33" s="3" t="s">
        <v>17</v>
      </c>
      <c r="J33" s="3" t="s">
        <v>20</v>
      </c>
      <c r="K33" s="4" t="s">
        <v>42</v>
      </c>
      <c r="L33" s="1" t="s">
        <v>42</v>
      </c>
      <c r="M33" s="3" t="s">
        <v>43</v>
      </c>
    </row>
    <row r="34" spans="1:13" x14ac:dyDescent="0.3">
      <c r="A34" s="3">
        <v>33</v>
      </c>
      <c r="B34" s="4">
        <v>45054</v>
      </c>
      <c r="C34" s="4" t="s">
        <v>54</v>
      </c>
      <c r="D34" s="5">
        <v>0.54652777777777772</v>
      </c>
      <c r="E34" s="3" t="s">
        <v>34</v>
      </c>
      <c r="F34" s="3" t="s">
        <v>24</v>
      </c>
      <c r="G34" s="3" t="s">
        <v>38</v>
      </c>
      <c r="H34" s="3" t="s">
        <v>15</v>
      </c>
      <c r="I34" s="3" t="s">
        <v>19</v>
      </c>
      <c r="J34" s="3" t="s">
        <v>21</v>
      </c>
      <c r="K34" s="4" t="s">
        <v>42</v>
      </c>
      <c r="L34" s="1" t="s">
        <v>42</v>
      </c>
      <c r="M34" s="3" t="s">
        <v>43</v>
      </c>
    </row>
    <row r="35" spans="1:13" x14ac:dyDescent="0.3">
      <c r="A35" s="3">
        <v>34</v>
      </c>
      <c r="B35" s="4">
        <v>45344</v>
      </c>
      <c r="C35" s="4" t="s">
        <v>63</v>
      </c>
      <c r="D35" s="5">
        <v>0.13680555555555557</v>
      </c>
      <c r="E35" s="3" t="s">
        <v>26</v>
      </c>
      <c r="F35" s="3" t="s">
        <v>24</v>
      </c>
      <c r="G35" s="3" t="s">
        <v>12</v>
      </c>
      <c r="H35" s="3" t="s">
        <v>40</v>
      </c>
      <c r="I35" s="3" t="s">
        <v>17</v>
      </c>
      <c r="J35" s="3" t="s">
        <v>22</v>
      </c>
      <c r="K35" s="4">
        <v>45345</v>
      </c>
      <c r="L35" s="1">
        <v>20</v>
      </c>
      <c r="M35" s="3" t="s">
        <v>25</v>
      </c>
    </row>
    <row r="36" spans="1:13" x14ac:dyDescent="0.3">
      <c r="A36" s="3">
        <v>35</v>
      </c>
      <c r="B36" s="4">
        <v>45509</v>
      </c>
      <c r="C36" s="4" t="s">
        <v>64</v>
      </c>
      <c r="D36" s="5">
        <v>0.56041666666666667</v>
      </c>
      <c r="E36" s="3" t="s">
        <v>30</v>
      </c>
      <c r="F36" s="3" t="s">
        <v>24</v>
      </c>
      <c r="G36" s="3" t="s">
        <v>12</v>
      </c>
      <c r="H36" s="3" t="s">
        <v>41</v>
      </c>
      <c r="I36" s="3" t="s">
        <v>19</v>
      </c>
      <c r="J36" s="3" t="s">
        <v>20</v>
      </c>
      <c r="K36" s="4" t="s">
        <v>42</v>
      </c>
      <c r="L36" s="1" t="s">
        <v>42</v>
      </c>
      <c r="M36" s="3" t="s">
        <v>25</v>
      </c>
    </row>
    <row r="37" spans="1:13" x14ac:dyDescent="0.3">
      <c r="A37" s="3">
        <v>36</v>
      </c>
      <c r="B37" s="4">
        <v>44986</v>
      </c>
      <c r="C37" s="4" t="s">
        <v>48</v>
      </c>
      <c r="D37" s="5">
        <v>0.79791666666666661</v>
      </c>
      <c r="E37" s="3" t="s">
        <v>36</v>
      </c>
      <c r="F37" s="3" t="s">
        <v>24</v>
      </c>
      <c r="G37" s="3" t="s">
        <v>14</v>
      </c>
      <c r="H37" s="3" t="s">
        <v>41</v>
      </c>
      <c r="I37" s="3" t="s">
        <v>17</v>
      </c>
      <c r="J37" s="3" t="s">
        <v>21</v>
      </c>
      <c r="K37" s="4" t="s">
        <v>42</v>
      </c>
      <c r="L37" s="1" t="s">
        <v>42</v>
      </c>
      <c r="M37" s="3" t="s">
        <v>43</v>
      </c>
    </row>
    <row r="38" spans="1:13" x14ac:dyDescent="0.3">
      <c r="A38" s="3">
        <v>37</v>
      </c>
      <c r="B38" s="4">
        <v>45513</v>
      </c>
      <c r="C38" s="4" t="s">
        <v>64</v>
      </c>
      <c r="D38" s="5">
        <v>0.82847222222222217</v>
      </c>
      <c r="E38" s="3" t="s">
        <v>36</v>
      </c>
      <c r="F38" s="3" t="s">
        <v>24</v>
      </c>
      <c r="G38" s="3" t="s">
        <v>38</v>
      </c>
      <c r="H38" s="3" t="s">
        <v>40</v>
      </c>
      <c r="I38" s="3" t="s">
        <v>19</v>
      </c>
      <c r="J38" s="3" t="s">
        <v>22</v>
      </c>
      <c r="K38" s="4">
        <v>45513</v>
      </c>
      <c r="L38" s="1">
        <v>9</v>
      </c>
      <c r="M38" s="3" t="s">
        <v>43</v>
      </c>
    </row>
    <row r="39" spans="1:13" x14ac:dyDescent="0.3">
      <c r="A39" s="3">
        <v>38</v>
      </c>
      <c r="B39" s="4">
        <v>44980</v>
      </c>
      <c r="C39" s="4" t="s">
        <v>61</v>
      </c>
      <c r="D39" s="5">
        <v>0.67222222222222217</v>
      </c>
      <c r="E39" s="3" t="s">
        <v>26</v>
      </c>
      <c r="F39" s="3" t="s">
        <v>24</v>
      </c>
      <c r="G39" s="3" t="s">
        <v>37</v>
      </c>
      <c r="H39" s="3" t="s">
        <v>16</v>
      </c>
      <c r="I39" s="3" t="s">
        <v>18</v>
      </c>
      <c r="J39" s="3" t="s">
        <v>21</v>
      </c>
      <c r="K39" s="4" t="s">
        <v>42</v>
      </c>
      <c r="L39" s="1" t="s">
        <v>42</v>
      </c>
      <c r="M39" s="3" t="s">
        <v>43</v>
      </c>
    </row>
    <row r="40" spans="1:13" x14ac:dyDescent="0.3">
      <c r="A40" s="3">
        <v>39</v>
      </c>
      <c r="B40" s="4">
        <v>45391</v>
      </c>
      <c r="C40" s="4" t="s">
        <v>57</v>
      </c>
      <c r="D40" s="5">
        <v>5.0694444444444445E-2</v>
      </c>
      <c r="E40" s="3" t="s">
        <v>26</v>
      </c>
      <c r="F40" s="3" t="s">
        <v>24</v>
      </c>
      <c r="G40" s="3" t="s">
        <v>37</v>
      </c>
      <c r="H40" s="3" t="s">
        <v>15</v>
      </c>
      <c r="I40" s="3" t="s">
        <v>19</v>
      </c>
      <c r="J40" s="3" t="s">
        <v>22</v>
      </c>
      <c r="K40" s="4">
        <v>45393</v>
      </c>
      <c r="L40" s="1">
        <v>18</v>
      </c>
      <c r="M40" s="3" t="s">
        <v>43</v>
      </c>
    </row>
    <row r="41" spans="1:13" x14ac:dyDescent="0.3">
      <c r="A41" s="3">
        <v>40</v>
      </c>
      <c r="B41" s="4">
        <v>44949</v>
      </c>
      <c r="C41" s="4" t="s">
        <v>49</v>
      </c>
      <c r="D41" s="5">
        <v>0.4152777777777778</v>
      </c>
      <c r="E41" s="3" t="s">
        <v>28</v>
      </c>
      <c r="F41" s="3" t="s">
        <v>24</v>
      </c>
      <c r="G41" s="3" t="s">
        <v>39</v>
      </c>
      <c r="H41" s="3" t="s">
        <v>41</v>
      </c>
      <c r="I41" s="3" t="s">
        <v>17</v>
      </c>
      <c r="J41" s="3" t="s">
        <v>22</v>
      </c>
      <c r="K41" s="4">
        <v>44949</v>
      </c>
      <c r="L41" s="1">
        <v>7</v>
      </c>
      <c r="M41" s="3" t="s">
        <v>43</v>
      </c>
    </row>
    <row r="42" spans="1:13" x14ac:dyDescent="0.3">
      <c r="A42" s="3">
        <v>41</v>
      </c>
      <c r="B42" s="4">
        <v>45283</v>
      </c>
      <c r="C42" s="4" t="s">
        <v>60</v>
      </c>
      <c r="D42" s="5">
        <v>0.58750000000000002</v>
      </c>
      <c r="E42" s="3" t="s">
        <v>33</v>
      </c>
      <c r="F42" s="3" t="s">
        <v>24</v>
      </c>
      <c r="G42" s="3" t="s">
        <v>13</v>
      </c>
      <c r="H42" s="3" t="s">
        <v>15</v>
      </c>
      <c r="I42" s="3" t="s">
        <v>19</v>
      </c>
      <c r="J42" s="3" t="s">
        <v>21</v>
      </c>
      <c r="K42" s="4" t="s">
        <v>42</v>
      </c>
      <c r="L42" s="1" t="s">
        <v>42</v>
      </c>
      <c r="M42" s="3" t="s">
        <v>25</v>
      </c>
    </row>
    <row r="43" spans="1:13" x14ac:dyDescent="0.3">
      <c r="A43" s="3">
        <v>42</v>
      </c>
      <c r="B43" s="4">
        <v>45212</v>
      </c>
      <c r="C43" s="4" t="s">
        <v>56</v>
      </c>
      <c r="D43" s="5">
        <v>0.43263888888888891</v>
      </c>
      <c r="E43" s="3" t="s">
        <v>36</v>
      </c>
      <c r="F43" s="3" t="s">
        <v>24</v>
      </c>
      <c r="G43" s="3" t="s">
        <v>13</v>
      </c>
      <c r="H43" s="3" t="s">
        <v>41</v>
      </c>
      <c r="I43" s="3" t="s">
        <v>19</v>
      </c>
      <c r="J43" s="3" t="s">
        <v>22</v>
      </c>
      <c r="K43" s="4">
        <v>45213</v>
      </c>
      <c r="L43" s="1">
        <v>23</v>
      </c>
      <c r="M43" s="3" t="s">
        <v>25</v>
      </c>
    </row>
    <row r="44" spans="1:13" x14ac:dyDescent="0.3">
      <c r="A44" s="3">
        <v>43</v>
      </c>
      <c r="B44" s="4">
        <v>45435</v>
      </c>
      <c r="C44" s="4" t="s">
        <v>47</v>
      </c>
      <c r="D44" s="5">
        <v>0.30347222222222225</v>
      </c>
      <c r="E44" s="3" t="s">
        <v>33</v>
      </c>
      <c r="F44" s="3" t="s">
        <v>24</v>
      </c>
      <c r="G44" s="3" t="s">
        <v>37</v>
      </c>
      <c r="H44" s="3" t="s">
        <v>40</v>
      </c>
      <c r="I44" s="3" t="s">
        <v>17</v>
      </c>
      <c r="J44" s="3" t="s">
        <v>22</v>
      </c>
      <c r="K44" s="4">
        <v>45437</v>
      </c>
      <c r="L44" s="1">
        <v>15</v>
      </c>
      <c r="M44" s="3" t="s">
        <v>43</v>
      </c>
    </row>
    <row r="45" spans="1:13" x14ac:dyDescent="0.3">
      <c r="A45" s="3">
        <v>44</v>
      </c>
      <c r="B45" s="4">
        <v>45385</v>
      </c>
      <c r="C45" s="4" t="s">
        <v>57</v>
      </c>
      <c r="D45" s="5">
        <v>0.24444444444444446</v>
      </c>
      <c r="E45" s="3" t="s">
        <v>23</v>
      </c>
      <c r="F45" s="3" t="s">
        <v>24</v>
      </c>
      <c r="G45" s="3" t="s">
        <v>12</v>
      </c>
      <c r="H45" s="3" t="s">
        <v>41</v>
      </c>
      <c r="I45" s="3" t="s">
        <v>19</v>
      </c>
      <c r="J45" s="3" t="s">
        <v>22</v>
      </c>
      <c r="K45" s="4">
        <v>45387</v>
      </c>
      <c r="L45" s="1">
        <v>6</v>
      </c>
      <c r="M45" s="3" t="s">
        <v>25</v>
      </c>
    </row>
    <row r="46" spans="1:13" x14ac:dyDescent="0.3">
      <c r="A46" s="3">
        <v>45</v>
      </c>
      <c r="B46" s="4">
        <v>44976</v>
      </c>
      <c r="C46" s="4" t="s">
        <v>61</v>
      </c>
      <c r="D46" s="5">
        <v>0.46805555555555556</v>
      </c>
      <c r="E46" s="3" t="s">
        <v>35</v>
      </c>
      <c r="F46" s="3" t="s">
        <v>24</v>
      </c>
      <c r="G46" s="3" t="s">
        <v>12</v>
      </c>
      <c r="H46" s="3" t="s">
        <v>41</v>
      </c>
      <c r="I46" s="3" t="s">
        <v>18</v>
      </c>
      <c r="J46" s="3" t="s">
        <v>20</v>
      </c>
      <c r="K46" s="4" t="s">
        <v>42</v>
      </c>
      <c r="L46" s="1" t="s">
        <v>42</v>
      </c>
      <c r="M46" s="3" t="s">
        <v>25</v>
      </c>
    </row>
    <row r="47" spans="1:13" x14ac:dyDescent="0.3">
      <c r="A47" s="3">
        <v>46</v>
      </c>
      <c r="B47" s="4">
        <v>45453</v>
      </c>
      <c r="C47" s="4" t="s">
        <v>58</v>
      </c>
      <c r="D47" s="5">
        <v>0.76388888888888884</v>
      </c>
      <c r="E47" s="3" t="s">
        <v>35</v>
      </c>
      <c r="F47" s="3" t="s">
        <v>24</v>
      </c>
      <c r="G47" s="3" t="s">
        <v>39</v>
      </c>
      <c r="H47" s="3" t="s">
        <v>16</v>
      </c>
      <c r="I47" s="3" t="s">
        <v>17</v>
      </c>
      <c r="J47" s="3" t="s">
        <v>20</v>
      </c>
      <c r="K47" s="4" t="s">
        <v>42</v>
      </c>
      <c r="L47" s="1" t="s">
        <v>42</v>
      </c>
      <c r="M47" s="3" t="s">
        <v>43</v>
      </c>
    </row>
    <row r="48" spans="1:13" x14ac:dyDescent="0.3">
      <c r="A48" s="3">
        <v>47</v>
      </c>
      <c r="B48" s="4">
        <v>45016</v>
      </c>
      <c r="C48" s="4" t="s">
        <v>48</v>
      </c>
      <c r="D48" s="5">
        <v>0.76875000000000004</v>
      </c>
      <c r="E48" s="3" t="s">
        <v>35</v>
      </c>
      <c r="F48" s="3" t="s">
        <v>24</v>
      </c>
      <c r="G48" s="3" t="s">
        <v>37</v>
      </c>
      <c r="H48" s="3" t="s">
        <v>15</v>
      </c>
      <c r="I48" s="3" t="s">
        <v>17</v>
      </c>
      <c r="J48" s="3" t="s">
        <v>22</v>
      </c>
      <c r="K48" s="4">
        <v>45016</v>
      </c>
      <c r="L48" s="1">
        <v>23</v>
      </c>
      <c r="M48" s="3" t="s">
        <v>43</v>
      </c>
    </row>
    <row r="49" spans="1:13" x14ac:dyDescent="0.3">
      <c r="A49" s="3">
        <v>48</v>
      </c>
      <c r="B49" s="4">
        <v>45433</v>
      </c>
      <c r="C49" s="4" t="s">
        <v>47</v>
      </c>
      <c r="D49" s="5">
        <v>8.7499999999999994E-2</v>
      </c>
      <c r="E49" s="3" t="s">
        <v>26</v>
      </c>
      <c r="F49" s="3" t="s">
        <v>24</v>
      </c>
      <c r="G49" s="3" t="s">
        <v>37</v>
      </c>
      <c r="H49" s="3" t="s">
        <v>16</v>
      </c>
      <c r="I49" s="3" t="s">
        <v>17</v>
      </c>
      <c r="J49" s="3" t="s">
        <v>22</v>
      </c>
      <c r="K49" s="4">
        <v>45434</v>
      </c>
      <c r="L49" s="1">
        <v>6</v>
      </c>
      <c r="M49" s="3" t="s">
        <v>43</v>
      </c>
    </row>
    <row r="50" spans="1:13" x14ac:dyDescent="0.3">
      <c r="A50" s="3">
        <v>49</v>
      </c>
      <c r="B50" s="4">
        <v>45475</v>
      </c>
      <c r="C50" s="4" t="s">
        <v>65</v>
      </c>
      <c r="D50" s="5">
        <v>0.88611111111111107</v>
      </c>
      <c r="E50" s="3" t="s">
        <v>36</v>
      </c>
      <c r="F50" s="3" t="s">
        <v>24</v>
      </c>
      <c r="G50" s="3" t="s">
        <v>14</v>
      </c>
      <c r="H50" s="3" t="s">
        <v>16</v>
      </c>
      <c r="I50" s="3" t="s">
        <v>19</v>
      </c>
      <c r="J50" s="3" t="s">
        <v>21</v>
      </c>
      <c r="K50" s="4" t="s">
        <v>42</v>
      </c>
      <c r="L50" s="1" t="s">
        <v>42</v>
      </c>
      <c r="M50" s="3" t="s">
        <v>43</v>
      </c>
    </row>
    <row r="51" spans="1:13" x14ac:dyDescent="0.3">
      <c r="A51" s="3">
        <v>50</v>
      </c>
      <c r="B51" s="4">
        <v>45503</v>
      </c>
      <c r="C51" s="4" t="s">
        <v>65</v>
      </c>
      <c r="D51" s="5">
        <v>0.73333333333333339</v>
      </c>
      <c r="E51" s="3" t="s">
        <v>32</v>
      </c>
      <c r="F51" s="3" t="s">
        <v>24</v>
      </c>
      <c r="G51" s="3" t="s">
        <v>39</v>
      </c>
      <c r="H51" s="3" t="s">
        <v>40</v>
      </c>
      <c r="I51" s="3" t="s">
        <v>18</v>
      </c>
      <c r="J51" s="3" t="s">
        <v>20</v>
      </c>
      <c r="K51" s="4" t="s">
        <v>42</v>
      </c>
      <c r="L51" s="1" t="s">
        <v>42</v>
      </c>
      <c r="M51" s="3" t="s">
        <v>43</v>
      </c>
    </row>
    <row r="52" spans="1:13" x14ac:dyDescent="0.3">
      <c r="A52" s="3">
        <v>51</v>
      </c>
      <c r="B52" s="4">
        <v>45331</v>
      </c>
      <c r="C52" s="4" t="s">
        <v>63</v>
      </c>
      <c r="D52" s="5">
        <v>0.8833333333333333</v>
      </c>
      <c r="E52" s="3" t="s">
        <v>23</v>
      </c>
      <c r="F52" s="3" t="s">
        <v>24</v>
      </c>
      <c r="G52" s="3" t="s">
        <v>13</v>
      </c>
      <c r="H52" s="3" t="s">
        <v>41</v>
      </c>
      <c r="I52" s="3" t="s">
        <v>19</v>
      </c>
      <c r="J52" s="3" t="s">
        <v>22</v>
      </c>
      <c r="K52" s="4">
        <v>45333</v>
      </c>
      <c r="L52" s="1">
        <v>22</v>
      </c>
      <c r="M52" s="3" t="s">
        <v>25</v>
      </c>
    </row>
    <row r="53" spans="1:13" x14ac:dyDescent="0.3">
      <c r="A53" s="3">
        <v>52</v>
      </c>
      <c r="B53" s="4">
        <v>45088</v>
      </c>
      <c r="C53" s="4" t="s">
        <v>50</v>
      </c>
      <c r="D53" s="5">
        <v>0.3041666666666667</v>
      </c>
      <c r="E53" s="3" t="s">
        <v>36</v>
      </c>
      <c r="F53" s="3" t="s">
        <v>24</v>
      </c>
      <c r="G53" s="3" t="s">
        <v>12</v>
      </c>
      <c r="H53" s="3" t="s">
        <v>16</v>
      </c>
      <c r="I53" s="3" t="s">
        <v>17</v>
      </c>
      <c r="J53" s="3" t="s">
        <v>22</v>
      </c>
      <c r="K53" s="4">
        <v>45090</v>
      </c>
      <c r="L53" s="1">
        <v>6</v>
      </c>
      <c r="M53" s="3" t="s">
        <v>25</v>
      </c>
    </row>
    <row r="54" spans="1:13" x14ac:dyDescent="0.3">
      <c r="A54" s="3">
        <v>53</v>
      </c>
      <c r="B54" s="4">
        <v>45633</v>
      </c>
      <c r="C54" s="4" t="s">
        <v>59</v>
      </c>
      <c r="D54" s="5">
        <v>0.76041666666666663</v>
      </c>
      <c r="E54" s="3" t="s">
        <v>31</v>
      </c>
      <c r="F54" s="3" t="s">
        <v>24</v>
      </c>
      <c r="G54" s="3" t="s">
        <v>14</v>
      </c>
      <c r="H54" s="3" t="s">
        <v>40</v>
      </c>
      <c r="I54" s="3" t="s">
        <v>18</v>
      </c>
      <c r="J54" s="3" t="s">
        <v>20</v>
      </c>
      <c r="K54" s="4" t="s">
        <v>42</v>
      </c>
      <c r="L54" s="1" t="s">
        <v>42</v>
      </c>
      <c r="M54" s="3" t="s">
        <v>43</v>
      </c>
    </row>
    <row r="55" spans="1:13" x14ac:dyDescent="0.3">
      <c r="A55" s="3">
        <v>54</v>
      </c>
      <c r="B55" s="4">
        <v>45036</v>
      </c>
      <c r="C55" s="4" t="s">
        <v>55</v>
      </c>
      <c r="D55" s="5">
        <v>0.78680555555555554</v>
      </c>
      <c r="E55" s="3" t="s">
        <v>27</v>
      </c>
      <c r="F55" s="3" t="s">
        <v>24</v>
      </c>
      <c r="G55" s="3" t="s">
        <v>38</v>
      </c>
      <c r="H55" s="3" t="s">
        <v>16</v>
      </c>
      <c r="I55" s="3" t="s">
        <v>18</v>
      </c>
      <c r="J55" s="3" t="s">
        <v>22</v>
      </c>
      <c r="K55" s="4">
        <v>45038</v>
      </c>
      <c r="L55" s="1">
        <v>14</v>
      </c>
      <c r="M55" s="3" t="s">
        <v>43</v>
      </c>
    </row>
    <row r="56" spans="1:13" x14ac:dyDescent="0.3">
      <c r="A56" s="3">
        <v>55</v>
      </c>
      <c r="B56" s="4">
        <v>45350</v>
      </c>
      <c r="C56" s="4" t="s">
        <v>63</v>
      </c>
      <c r="D56" s="5">
        <v>0.16319444444444445</v>
      </c>
      <c r="E56" s="3" t="s">
        <v>27</v>
      </c>
      <c r="F56" s="3" t="s">
        <v>24</v>
      </c>
      <c r="G56" s="3" t="s">
        <v>39</v>
      </c>
      <c r="H56" s="3" t="s">
        <v>41</v>
      </c>
      <c r="I56" s="3" t="s">
        <v>18</v>
      </c>
      <c r="J56" s="3" t="s">
        <v>22</v>
      </c>
      <c r="K56" s="4">
        <v>45350</v>
      </c>
      <c r="L56" s="1">
        <v>2</v>
      </c>
      <c r="M56" s="3" t="s">
        <v>43</v>
      </c>
    </row>
    <row r="57" spans="1:13" x14ac:dyDescent="0.3">
      <c r="A57" s="3">
        <v>56</v>
      </c>
      <c r="B57" s="4">
        <v>45425</v>
      </c>
      <c r="C57" s="4" t="s">
        <v>47</v>
      </c>
      <c r="D57" s="5">
        <v>0.68472222222222223</v>
      </c>
      <c r="E57" s="3" t="s">
        <v>34</v>
      </c>
      <c r="F57" s="3" t="s">
        <v>24</v>
      </c>
      <c r="G57" s="3" t="s">
        <v>13</v>
      </c>
      <c r="H57" s="3" t="s">
        <v>16</v>
      </c>
      <c r="I57" s="3" t="s">
        <v>19</v>
      </c>
      <c r="J57" s="3" t="s">
        <v>22</v>
      </c>
      <c r="K57" s="4">
        <v>45426</v>
      </c>
      <c r="L57" s="1">
        <v>11</v>
      </c>
      <c r="M57" s="3" t="s">
        <v>25</v>
      </c>
    </row>
    <row r="58" spans="1:13" x14ac:dyDescent="0.3">
      <c r="A58" s="3">
        <v>57</v>
      </c>
      <c r="B58" s="4">
        <v>45207</v>
      </c>
      <c r="C58" s="4" t="s">
        <v>56</v>
      </c>
      <c r="D58" s="5">
        <v>0.90625</v>
      </c>
      <c r="E58" s="3" t="s">
        <v>36</v>
      </c>
      <c r="F58" s="3" t="s">
        <v>24</v>
      </c>
      <c r="G58" s="3" t="s">
        <v>12</v>
      </c>
      <c r="H58" s="3" t="s">
        <v>16</v>
      </c>
      <c r="I58" s="3" t="s">
        <v>17</v>
      </c>
      <c r="J58" s="3" t="s">
        <v>22</v>
      </c>
      <c r="K58" s="4">
        <v>45207</v>
      </c>
      <c r="L58" s="1">
        <v>24</v>
      </c>
      <c r="M58" s="3" t="s">
        <v>25</v>
      </c>
    </row>
    <row r="59" spans="1:13" x14ac:dyDescent="0.3">
      <c r="A59" s="3">
        <v>58</v>
      </c>
      <c r="B59" s="4">
        <v>44999</v>
      </c>
      <c r="C59" s="4" t="s">
        <v>48</v>
      </c>
      <c r="D59" s="5">
        <v>0.63402777777777775</v>
      </c>
      <c r="E59" s="3" t="s">
        <v>33</v>
      </c>
      <c r="F59" s="3" t="s">
        <v>24</v>
      </c>
      <c r="G59" s="3" t="s">
        <v>12</v>
      </c>
      <c r="H59" s="3" t="s">
        <v>16</v>
      </c>
      <c r="I59" s="3" t="s">
        <v>18</v>
      </c>
      <c r="J59" s="3" t="s">
        <v>22</v>
      </c>
      <c r="K59" s="4">
        <v>44999</v>
      </c>
      <c r="L59" s="1">
        <v>1</v>
      </c>
      <c r="M59" s="3" t="s">
        <v>25</v>
      </c>
    </row>
    <row r="60" spans="1:13" x14ac:dyDescent="0.3">
      <c r="A60" s="3">
        <v>59</v>
      </c>
      <c r="B60" s="4">
        <v>45376</v>
      </c>
      <c r="C60" s="4" t="s">
        <v>62</v>
      </c>
      <c r="D60" s="5">
        <v>9.8611111111111108E-2</v>
      </c>
      <c r="E60" s="3" t="s">
        <v>29</v>
      </c>
      <c r="F60" s="3" t="s">
        <v>24</v>
      </c>
      <c r="G60" s="3" t="s">
        <v>39</v>
      </c>
      <c r="H60" s="3" t="s">
        <v>15</v>
      </c>
      <c r="I60" s="3" t="s">
        <v>18</v>
      </c>
      <c r="J60" s="3" t="s">
        <v>20</v>
      </c>
      <c r="K60" s="4" t="s">
        <v>42</v>
      </c>
      <c r="L60" s="1" t="s">
        <v>42</v>
      </c>
      <c r="M60" s="3" t="s">
        <v>43</v>
      </c>
    </row>
    <row r="61" spans="1:13" x14ac:dyDescent="0.3">
      <c r="A61" s="3">
        <v>60</v>
      </c>
      <c r="B61" s="4">
        <v>45235</v>
      </c>
      <c r="C61" s="4" t="s">
        <v>46</v>
      </c>
      <c r="D61" s="5">
        <v>0.94166666666666665</v>
      </c>
      <c r="E61" s="3" t="s">
        <v>31</v>
      </c>
      <c r="F61" s="3" t="s">
        <v>24</v>
      </c>
      <c r="G61" s="3" t="s">
        <v>12</v>
      </c>
      <c r="H61" s="3" t="s">
        <v>41</v>
      </c>
      <c r="I61" s="3" t="s">
        <v>19</v>
      </c>
      <c r="J61" s="3" t="s">
        <v>22</v>
      </c>
      <c r="K61" s="4">
        <v>45237</v>
      </c>
      <c r="L61" s="1">
        <v>3</v>
      </c>
      <c r="M61" s="3" t="s">
        <v>25</v>
      </c>
    </row>
    <row r="62" spans="1:13" x14ac:dyDescent="0.3">
      <c r="A62" s="3">
        <v>61</v>
      </c>
      <c r="B62" s="4">
        <v>45496</v>
      </c>
      <c r="C62" s="4" t="s">
        <v>65</v>
      </c>
      <c r="D62" s="5">
        <v>0.64722222222222225</v>
      </c>
      <c r="E62" s="3" t="s">
        <v>30</v>
      </c>
      <c r="F62" s="3" t="s">
        <v>24</v>
      </c>
      <c r="G62" s="3" t="s">
        <v>38</v>
      </c>
      <c r="H62" s="3" t="s">
        <v>40</v>
      </c>
      <c r="I62" s="3" t="s">
        <v>17</v>
      </c>
      <c r="J62" s="3" t="s">
        <v>20</v>
      </c>
      <c r="K62" s="4" t="s">
        <v>42</v>
      </c>
      <c r="L62" s="1" t="s">
        <v>42</v>
      </c>
      <c r="M62" s="3" t="s">
        <v>43</v>
      </c>
    </row>
    <row r="63" spans="1:13" x14ac:dyDescent="0.3">
      <c r="A63" s="3">
        <v>62</v>
      </c>
      <c r="B63" s="4">
        <v>45269</v>
      </c>
      <c r="C63" s="4" t="s">
        <v>60</v>
      </c>
      <c r="D63" s="5">
        <v>0.20972222222222223</v>
      </c>
      <c r="E63" s="3" t="s">
        <v>29</v>
      </c>
      <c r="F63" s="3" t="s">
        <v>24</v>
      </c>
      <c r="G63" s="3" t="s">
        <v>14</v>
      </c>
      <c r="H63" s="3" t="s">
        <v>41</v>
      </c>
      <c r="I63" s="3" t="s">
        <v>18</v>
      </c>
      <c r="J63" s="3" t="s">
        <v>22</v>
      </c>
      <c r="K63" s="4">
        <v>45270</v>
      </c>
      <c r="L63" s="1">
        <v>13</v>
      </c>
      <c r="M63" s="3" t="s">
        <v>43</v>
      </c>
    </row>
    <row r="64" spans="1:13" x14ac:dyDescent="0.3">
      <c r="A64" s="3">
        <v>63</v>
      </c>
      <c r="B64" s="4">
        <v>44934</v>
      </c>
      <c r="C64" s="4" t="s">
        <v>49</v>
      </c>
      <c r="D64" s="5">
        <v>0.40694444444444444</v>
      </c>
      <c r="E64" s="3" t="s">
        <v>30</v>
      </c>
      <c r="F64" s="3" t="s">
        <v>24</v>
      </c>
      <c r="G64" s="3" t="s">
        <v>14</v>
      </c>
      <c r="H64" s="3" t="s">
        <v>16</v>
      </c>
      <c r="I64" s="3" t="s">
        <v>19</v>
      </c>
      <c r="J64" s="3" t="s">
        <v>21</v>
      </c>
      <c r="K64" s="4" t="s">
        <v>42</v>
      </c>
      <c r="L64" s="1" t="s">
        <v>42</v>
      </c>
      <c r="M64" s="3" t="s">
        <v>43</v>
      </c>
    </row>
    <row r="65" spans="1:13" x14ac:dyDescent="0.3">
      <c r="A65" s="3">
        <v>64</v>
      </c>
      <c r="B65" s="4">
        <v>44984</v>
      </c>
      <c r="C65" s="4" t="s">
        <v>61</v>
      </c>
      <c r="D65" s="5">
        <v>0.81180555555555556</v>
      </c>
      <c r="E65" s="3" t="s">
        <v>26</v>
      </c>
      <c r="F65" s="3" t="s">
        <v>24</v>
      </c>
      <c r="G65" s="3" t="s">
        <v>39</v>
      </c>
      <c r="H65" s="3" t="s">
        <v>41</v>
      </c>
      <c r="I65" s="3" t="s">
        <v>19</v>
      </c>
      <c r="J65" s="3" t="s">
        <v>22</v>
      </c>
      <c r="K65" s="4">
        <v>44986</v>
      </c>
      <c r="L65" s="1">
        <v>24</v>
      </c>
      <c r="M65" s="3" t="s">
        <v>43</v>
      </c>
    </row>
    <row r="66" spans="1:13" x14ac:dyDescent="0.3">
      <c r="A66" s="3">
        <v>65</v>
      </c>
      <c r="B66" s="4">
        <v>45535</v>
      </c>
      <c r="C66" s="4" t="s">
        <v>64</v>
      </c>
      <c r="D66" s="5">
        <v>0.93124999999999991</v>
      </c>
      <c r="E66" s="3" t="s">
        <v>34</v>
      </c>
      <c r="F66" s="3" t="s">
        <v>24</v>
      </c>
      <c r="G66" s="3" t="s">
        <v>12</v>
      </c>
      <c r="H66" s="3" t="s">
        <v>40</v>
      </c>
      <c r="I66" s="3" t="s">
        <v>18</v>
      </c>
      <c r="J66" s="3" t="s">
        <v>20</v>
      </c>
      <c r="K66" s="4" t="s">
        <v>42</v>
      </c>
      <c r="L66" s="1" t="s">
        <v>42</v>
      </c>
      <c r="M66" s="3" t="s">
        <v>25</v>
      </c>
    </row>
    <row r="67" spans="1:13" x14ac:dyDescent="0.3">
      <c r="A67" s="3">
        <v>66</v>
      </c>
      <c r="B67" s="4">
        <v>45106</v>
      </c>
      <c r="C67" s="4" t="s">
        <v>50</v>
      </c>
      <c r="D67" s="5">
        <v>0.77847222222222223</v>
      </c>
      <c r="E67" s="3" t="s">
        <v>31</v>
      </c>
      <c r="F67" s="3" t="s">
        <v>24</v>
      </c>
      <c r="G67" s="3" t="s">
        <v>37</v>
      </c>
      <c r="H67" s="3" t="s">
        <v>16</v>
      </c>
      <c r="I67" s="3" t="s">
        <v>19</v>
      </c>
      <c r="J67" s="3" t="s">
        <v>21</v>
      </c>
      <c r="K67" s="4" t="s">
        <v>42</v>
      </c>
      <c r="L67" s="1" t="s">
        <v>42</v>
      </c>
      <c r="M67" s="3" t="s">
        <v>43</v>
      </c>
    </row>
    <row r="68" spans="1:13" x14ac:dyDescent="0.3">
      <c r="A68" s="3">
        <v>67</v>
      </c>
      <c r="B68" s="4">
        <v>45342</v>
      </c>
      <c r="C68" s="4" t="s">
        <v>63</v>
      </c>
      <c r="D68" s="5">
        <v>0.90555555555555556</v>
      </c>
      <c r="E68" s="3" t="s">
        <v>32</v>
      </c>
      <c r="F68" s="3" t="s">
        <v>24</v>
      </c>
      <c r="G68" s="3" t="s">
        <v>13</v>
      </c>
      <c r="H68" s="3" t="s">
        <v>16</v>
      </c>
      <c r="I68" s="3" t="s">
        <v>18</v>
      </c>
      <c r="J68" s="3" t="s">
        <v>20</v>
      </c>
      <c r="K68" s="4" t="s">
        <v>42</v>
      </c>
      <c r="L68" s="1" t="s">
        <v>42</v>
      </c>
      <c r="M68" s="3" t="s">
        <v>25</v>
      </c>
    </row>
    <row r="69" spans="1:13" x14ac:dyDescent="0.3">
      <c r="A69" s="3">
        <v>68</v>
      </c>
      <c r="B69" s="4">
        <v>45551</v>
      </c>
      <c r="C69" s="4" t="s">
        <v>66</v>
      </c>
      <c r="D69" s="5">
        <v>0.33749999999999997</v>
      </c>
      <c r="E69" s="3" t="s">
        <v>29</v>
      </c>
      <c r="F69" s="3" t="s">
        <v>24</v>
      </c>
      <c r="G69" s="3" t="s">
        <v>39</v>
      </c>
      <c r="H69" s="3" t="s">
        <v>15</v>
      </c>
      <c r="I69" s="3" t="s">
        <v>18</v>
      </c>
      <c r="J69" s="3" t="s">
        <v>22</v>
      </c>
      <c r="K69" s="4">
        <v>45553</v>
      </c>
      <c r="L69" s="1">
        <v>24</v>
      </c>
      <c r="M69" s="3" t="s">
        <v>43</v>
      </c>
    </row>
    <row r="70" spans="1:13" x14ac:dyDescent="0.3">
      <c r="A70" s="3">
        <v>69</v>
      </c>
      <c r="B70" s="4">
        <v>45115</v>
      </c>
      <c r="C70" s="4" t="s">
        <v>53</v>
      </c>
      <c r="D70" s="5">
        <v>0.84236111111111112</v>
      </c>
      <c r="E70" s="3" t="s">
        <v>29</v>
      </c>
      <c r="F70" s="3" t="s">
        <v>24</v>
      </c>
      <c r="G70" s="3" t="s">
        <v>37</v>
      </c>
      <c r="H70" s="3" t="s">
        <v>41</v>
      </c>
      <c r="I70" s="3" t="s">
        <v>19</v>
      </c>
      <c r="J70" s="3" t="s">
        <v>22</v>
      </c>
      <c r="K70" s="4">
        <v>45115</v>
      </c>
      <c r="L70" s="1">
        <v>6</v>
      </c>
      <c r="M70" s="3" t="s">
        <v>43</v>
      </c>
    </row>
    <row r="71" spans="1:13" x14ac:dyDescent="0.3">
      <c r="A71" s="3">
        <v>70</v>
      </c>
      <c r="B71" s="4">
        <v>44963</v>
      </c>
      <c r="C71" s="4" t="s">
        <v>61</v>
      </c>
      <c r="D71" s="5">
        <v>0.34097222222222218</v>
      </c>
      <c r="E71" s="3" t="s">
        <v>26</v>
      </c>
      <c r="F71" s="3" t="s">
        <v>24</v>
      </c>
      <c r="G71" s="3" t="s">
        <v>39</v>
      </c>
      <c r="H71" s="3" t="s">
        <v>40</v>
      </c>
      <c r="I71" s="3" t="s">
        <v>17</v>
      </c>
      <c r="J71" s="3" t="s">
        <v>20</v>
      </c>
      <c r="K71" s="4" t="s">
        <v>42</v>
      </c>
      <c r="L71" s="1" t="s">
        <v>42</v>
      </c>
      <c r="M71" s="3" t="s">
        <v>43</v>
      </c>
    </row>
    <row r="72" spans="1:13" x14ac:dyDescent="0.3">
      <c r="A72" s="3">
        <v>71</v>
      </c>
      <c r="B72" s="4">
        <v>45046</v>
      </c>
      <c r="C72" s="4" t="s">
        <v>55</v>
      </c>
      <c r="D72" s="5">
        <v>6.8750000000000006E-2</v>
      </c>
      <c r="E72" s="3" t="s">
        <v>26</v>
      </c>
      <c r="F72" s="3" t="s">
        <v>24</v>
      </c>
      <c r="G72" s="3" t="s">
        <v>39</v>
      </c>
      <c r="H72" s="3" t="s">
        <v>40</v>
      </c>
      <c r="I72" s="3" t="s">
        <v>17</v>
      </c>
      <c r="J72" s="3" t="s">
        <v>22</v>
      </c>
      <c r="K72" s="4">
        <v>45047</v>
      </c>
      <c r="L72" s="1">
        <v>12</v>
      </c>
      <c r="M72" s="3" t="s">
        <v>43</v>
      </c>
    </row>
    <row r="73" spans="1:13" x14ac:dyDescent="0.3">
      <c r="A73" s="3">
        <v>72</v>
      </c>
      <c r="B73" s="4">
        <v>45565</v>
      </c>
      <c r="C73" s="4" t="s">
        <v>66</v>
      </c>
      <c r="D73" s="5">
        <v>0.81527777777777777</v>
      </c>
      <c r="E73" s="3" t="s">
        <v>30</v>
      </c>
      <c r="F73" s="3" t="s">
        <v>24</v>
      </c>
      <c r="G73" s="3" t="s">
        <v>38</v>
      </c>
      <c r="H73" s="3" t="s">
        <v>40</v>
      </c>
      <c r="I73" s="3" t="s">
        <v>17</v>
      </c>
      <c r="J73" s="3" t="s">
        <v>22</v>
      </c>
      <c r="K73" s="4">
        <v>45566</v>
      </c>
      <c r="L73" s="1">
        <v>3</v>
      </c>
      <c r="M73" s="3" t="s">
        <v>43</v>
      </c>
    </row>
    <row r="74" spans="1:13" x14ac:dyDescent="0.3">
      <c r="A74" s="3">
        <v>73</v>
      </c>
      <c r="B74" s="4">
        <v>45521</v>
      </c>
      <c r="C74" s="4" t="s">
        <v>64</v>
      </c>
      <c r="D74" s="5">
        <v>0.6958333333333333</v>
      </c>
      <c r="E74" s="3" t="s">
        <v>27</v>
      </c>
      <c r="F74" s="3" t="s">
        <v>24</v>
      </c>
      <c r="G74" s="3" t="s">
        <v>12</v>
      </c>
      <c r="H74" s="3" t="s">
        <v>16</v>
      </c>
      <c r="I74" s="3" t="s">
        <v>18</v>
      </c>
      <c r="J74" s="3" t="s">
        <v>22</v>
      </c>
      <c r="K74" s="4">
        <v>45522</v>
      </c>
      <c r="L74" s="1">
        <v>20</v>
      </c>
      <c r="M74" s="3" t="s">
        <v>25</v>
      </c>
    </row>
    <row r="75" spans="1:13" x14ac:dyDescent="0.3">
      <c r="A75" s="3">
        <v>74</v>
      </c>
      <c r="B75" s="4">
        <v>45413</v>
      </c>
      <c r="C75" s="4" t="s">
        <v>47</v>
      </c>
      <c r="D75" s="5">
        <v>0.64861111111111114</v>
      </c>
      <c r="E75" s="3" t="s">
        <v>28</v>
      </c>
      <c r="F75" s="3" t="s">
        <v>24</v>
      </c>
      <c r="G75" s="3" t="s">
        <v>14</v>
      </c>
      <c r="H75" s="3" t="s">
        <v>40</v>
      </c>
      <c r="I75" s="3" t="s">
        <v>18</v>
      </c>
      <c r="J75" s="3" t="s">
        <v>21</v>
      </c>
      <c r="K75" s="4" t="s">
        <v>42</v>
      </c>
      <c r="L75" s="1" t="s">
        <v>42</v>
      </c>
      <c r="M75" s="3" t="s">
        <v>43</v>
      </c>
    </row>
    <row r="76" spans="1:13" x14ac:dyDescent="0.3">
      <c r="A76" s="3">
        <v>75</v>
      </c>
      <c r="B76" s="4">
        <v>45407</v>
      </c>
      <c r="C76" s="4" t="s">
        <v>57</v>
      </c>
      <c r="D76" s="5">
        <v>0.94374999999999998</v>
      </c>
      <c r="E76" s="3" t="s">
        <v>31</v>
      </c>
      <c r="F76" s="3" t="s">
        <v>24</v>
      </c>
      <c r="G76" s="3" t="s">
        <v>39</v>
      </c>
      <c r="H76" s="3" t="s">
        <v>41</v>
      </c>
      <c r="I76" s="3" t="s">
        <v>19</v>
      </c>
      <c r="J76" s="3" t="s">
        <v>21</v>
      </c>
      <c r="K76" s="4" t="s">
        <v>42</v>
      </c>
      <c r="L76" s="1" t="s">
        <v>42</v>
      </c>
      <c r="M76" s="3" t="s">
        <v>43</v>
      </c>
    </row>
    <row r="77" spans="1:13" x14ac:dyDescent="0.3">
      <c r="A77" s="3">
        <v>76</v>
      </c>
      <c r="B77" s="4">
        <v>44975</v>
      </c>
      <c r="C77" s="4" t="s">
        <v>61</v>
      </c>
      <c r="D77" s="5">
        <v>0.33125000000000004</v>
      </c>
      <c r="E77" s="3" t="s">
        <v>33</v>
      </c>
      <c r="F77" s="3" t="s">
        <v>24</v>
      </c>
      <c r="G77" s="3" t="s">
        <v>13</v>
      </c>
      <c r="H77" s="3" t="s">
        <v>41</v>
      </c>
      <c r="I77" s="3" t="s">
        <v>19</v>
      </c>
      <c r="J77" s="3" t="s">
        <v>20</v>
      </c>
      <c r="K77" s="4" t="s">
        <v>42</v>
      </c>
      <c r="L77" s="1" t="s">
        <v>42</v>
      </c>
      <c r="M77" s="3" t="s">
        <v>25</v>
      </c>
    </row>
    <row r="78" spans="1:13" x14ac:dyDescent="0.3">
      <c r="A78" s="3">
        <v>77</v>
      </c>
      <c r="B78" s="4">
        <v>45232</v>
      </c>
      <c r="C78" s="4" t="s">
        <v>46</v>
      </c>
      <c r="D78" s="5">
        <v>5.2777777777777778E-2</v>
      </c>
      <c r="E78" s="3" t="s">
        <v>32</v>
      </c>
      <c r="F78" s="3" t="s">
        <v>24</v>
      </c>
      <c r="G78" s="3" t="s">
        <v>14</v>
      </c>
      <c r="H78" s="3" t="s">
        <v>41</v>
      </c>
      <c r="I78" s="3" t="s">
        <v>18</v>
      </c>
      <c r="J78" s="3" t="s">
        <v>22</v>
      </c>
      <c r="K78" s="4">
        <v>45234</v>
      </c>
      <c r="L78" s="1">
        <v>6</v>
      </c>
      <c r="M78" s="3" t="s">
        <v>43</v>
      </c>
    </row>
    <row r="79" spans="1:13" x14ac:dyDescent="0.3">
      <c r="A79" s="3">
        <v>78</v>
      </c>
      <c r="B79" s="4">
        <v>44950</v>
      </c>
      <c r="C79" s="4" t="s">
        <v>49</v>
      </c>
      <c r="D79" s="5">
        <v>0.57638888888888884</v>
      </c>
      <c r="E79" s="3" t="s">
        <v>35</v>
      </c>
      <c r="F79" s="3" t="s">
        <v>24</v>
      </c>
      <c r="G79" s="3" t="s">
        <v>37</v>
      </c>
      <c r="H79" s="3" t="s">
        <v>41</v>
      </c>
      <c r="I79" s="3" t="s">
        <v>19</v>
      </c>
      <c r="J79" s="3" t="s">
        <v>22</v>
      </c>
      <c r="K79" s="4">
        <v>44950</v>
      </c>
      <c r="L79" s="1">
        <v>21</v>
      </c>
      <c r="M79" s="3" t="s">
        <v>43</v>
      </c>
    </row>
    <row r="80" spans="1:13" x14ac:dyDescent="0.3">
      <c r="A80" s="3">
        <v>79</v>
      </c>
      <c r="B80" s="4">
        <v>45035</v>
      </c>
      <c r="C80" s="4" t="s">
        <v>55</v>
      </c>
      <c r="D80" s="5">
        <v>0.30972222222222223</v>
      </c>
      <c r="E80" s="3" t="s">
        <v>31</v>
      </c>
      <c r="F80" s="3" t="s">
        <v>24</v>
      </c>
      <c r="G80" s="3" t="s">
        <v>37</v>
      </c>
      <c r="H80" s="3" t="s">
        <v>15</v>
      </c>
      <c r="I80" s="3" t="s">
        <v>18</v>
      </c>
      <c r="J80" s="3" t="s">
        <v>22</v>
      </c>
      <c r="K80" s="4">
        <v>45036</v>
      </c>
      <c r="L80" s="1">
        <v>20</v>
      </c>
      <c r="M80" s="3" t="s">
        <v>43</v>
      </c>
    </row>
    <row r="81" spans="1:13" x14ac:dyDescent="0.3">
      <c r="A81" s="3">
        <v>80</v>
      </c>
      <c r="B81" s="4">
        <v>45021</v>
      </c>
      <c r="C81" s="4" t="s">
        <v>55</v>
      </c>
      <c r="D81" s="5">
        <v>0.81527777777777777</v>
      </c>
      <c r="E81" s="3" t="s">
        <v>30</v>
      </c>
      <c r="F81" s="3" t="s">
        <v>24</v>
      </c>
      <c r="G81" s="3" t="s">
        <v>39</v>
      </c>
      <c r="H81" s="3" t="s">
        <v>16</v>
      </c>
      <c r="I81" s="3" t="s">
        <v>19</v>
      </c>
      <c r="J81" s="3" t="s">
        <v>21</v>
      </c>
      <c r="K81" s="4" t="s">
        <v>42</v>
      </c>
      <c r="L81" s="1" t="s">
        <v>42</v>
      </c>
      <c r="M81" s="3" t="s">
        <v>43</v>
      </c>
    </row>
    <row r="82" spans="1:13" x14ac:dyDescent="0.3">
      <c r="A82" s="3">
        <v>81</v>
      </c>
      <c r="B82" s="4">
        <v>45356</v>
      </c>
      <c r="C82" s="4" t="s">
        <v>62</v>
      </c>
      <c r="D82" s="5">
        <v>0.42291666666666666</v>
      </c>
      <c r="E82" s="3" t="s">
        <v>29</v>
      </c>
      <c r="F82" s="3" t="s">
        <v>24</v>
      </c>
      <c r="G82" s="3" t="s">
        <v>12</v>
      </c>
      <c r="H82" s="3" t="s">
        <v>41</v>
      </c>
      <c r="I82" s="3" t="s">
        <v>18</v>
      </c>
      <c r="J82" s="3" t="s">
        <v>22</v>
      </c>
      <c r="K82" s="4">
        <v>45358</v>
      </c>
      <c r="L82" s="1">
        <v>2</v>
      </c>
      <c r="M82" s="3" t="s">
        <v>25</v>
      </c>
    </row>
    <row r="83" spans="1:13" x14ac:dyDescent="0.3">
      <c r="A83" s="3">
        <v>82</v>
      </c>
      <c r="B83" s="4">
        <v>45177</v>
      </c>
      <c r="C83" s="4" t="s">
        <v>51</v>
      </c>
      <c r="D83" s="5">
        <v>0.82916666666666661</v>
      </c>
      <c r="E83" s="3" t="s">
        <v>33</v>
      </c>
      <c r="F83" s="3" t="s">
        <v>24</v>
      </c>
      <c r="G83" s="3" t="s">
        <v>14</v>
      </c>
      <c r="H83" s="3" t="s">
        <v>40</v>
      </c>
      <c r="I83" s="3" t="s">
        <v>18</v>
      </c>
      <c r="J83" s="3" t="s">
        <v>21</v>
      </c>
      <c r="K83" s="4" t="s">
        <v>42</v>
      </c>
      <c r="L83" s="1" t="s">
        <v>42</v>
      </c>
      <c r="M83" s="3" t="s">
        <v>43</v>
      </c>
    </row>
    <row r="84" spans="1:13" x14ac:dyDescent="0.3">
      <c r="A84" s="3">
        <v>83</v>
      </c>
      <c r="B84" s="4">
        <v>45235</v>
      </c>
      <c r="C84" s="4" t="s">
        <v>46</v>
      </c>
      <c r="D84" s="5">
        <v>0.37638888888888888</v>
      </c>
      <c r="E84" s="3" t="s">
        <v>27</v>
      </c>
      <c r="F84" s="3" t="s">
        <v>24</v>
      </c>
      <c r="G84" s="3" t="s">
        <v>13</v>
      </c>
      <c r="H84" s="3" t="s">
        <v>41</v>
      </c>
      <c r="I84" s="3" t="s">
        <v>18</v>
      </c>
      <c r="J84" s="3" t="s">
        <v>20</v>
      </c>
      <c r="K84" s="4" t="s">
        <v>42</v>
      </c>
      <c r="L84" s="1" t="s">
        <v>42</v>
      </c>
      <c r="M84" s="3" t="s">
        <v>25</v>
      </c>
    </row>
    <row r="85" spans="1:13" x14ac:dyDescent="0.3">
      <c r="A85" s="3">
        <v>84</v>
      </c>
      <c r="B85" s="4">
        <v>45526</v>
      </c>
      <c r="C85" s="4" t="s">
        <v>64</v>
      </c>
      <c r="D85" s="5">
        <v>0.46527777777777773</v>
      </c>
      <c r="E85" s="3" t="s">
        <v>35</v>
      </c>
      <c r="F85" s="3" t="s">
        <v>24</v>
      </c>
      <c r="G85" s="3" t="s">
        <v>12</v>
      </c>
      <c r="H85" s="3" t="s">
        <v>40</v>
      </c>
      <c r="I85" s="3" t="s">
        <v>18</v>
      </c>
      <c r="J85" s="3" t="s">
        <v>22</v>
      </c>
      <c r="K85" s="4">
        <v>45526</v>
      </c>
      <c r="L85" s="1">
        <v>19</v>
      </c>
      <c r="M85" s="3" t="s">
        <v>25</v>
      </c>
    </row>
    <row r="86" spans="1:13" x14ac:dyDescent="0.3">
      <c r="A86" s="3">
        <v>85</v>
      </c>
      <c r="B86" s="4">
        <v>45564</v>
      </c>
      <c r="C86" s="4" t="s">
        <v>66</v>
      </c>
      <c r="D86" s="5">
        <v>0.75277777777777777</v>
      </c>
      <c r="E86" s="3" t="s">
        <v>23</v>
      </c>
      <c r="F86" s="3" t="s">
        <v>24</v>
      </c>
      <c r="G86" s="3" t="s">
        <v>12</v>
      </c>
      <c r="H86" s="3" t="s">
        <v>15</v>
      </c>
      <c r="I86" s="3" t="s">
        <v>18</v>
      </c>
      <c r="J86" s="3" t="s">
        <v>22</v>
      </c>
      <c r="K86" s="4">
        <v>45565</v>
      </c>
      <c r="L86" s="1">
        <v>13</v>
      </c>
      <c r="M86" s="3" t="s">
        <v>25</v>
      </c>
    </row>
    <row r="87" spans="1:13" x14ac:dyDescent="0.3">
      <c r="A87" s="3">
        <v>86</v>
      </c>
      <c r="B87" s="4">
        <v>45255</v>
      </c>
      <c r="C87" s="4" t="s">
        <v>46</v>
      </c>
      <c r="D87" s="5">
        <v>3.888888888888889E-2</v>
      </c>
      <c r="E87" s="3" t="s">
        <v>23</v>
      </c>
      <c r="F87" s="3" t="s">
        <v>24</v>
      </c>
      <c r="G87" s="3" t="s">
        <v>12</v>
      </c>
      <c r="H87" s="3" t="s">
        <v>16</v>
      </c>
      <c r="I87" s="3" t="s">
        <v>17</v>
      </c>
      <c r="J87" s="3" t="s">
        <v>21</v>
      </c>
      <c r="K87" s="4" t="s">
        <v>42</v>
      </c>
      <c r="L87" s="1" t="s">
        <v>42</v>
      </c>
      <c r="M87" s="3" t="s">
        <v>25</v>
      </c>
    </row>
    <row r="88" spans="1:13" x14ac:dyDescent="0.3">
      <c r="A88" s="3">
        <v>87</v>
      </c>
      <c r="B88" s="4">
        <v>45512</v>
      </c>
      <c r="C88" s="4" t="s">
        <v>64</v>
      </c>
      <c r="D88" s="5">
        <v>0.85694444444444451</v>
      </c>
      <c r="E88" s="3" t="s">
        <v>31</v>
      </c>
      <c r="F88" s="3" t="s">
        <v>24</v>
      </c>
      <c r="G88" s="3" t="s">
        <v>37</v>
      </c>
      <c r="H88" s="3" t="s">
        <v>40</v>
      </c>
      <c r="I88" s="3" t="s">
        <v>17</v>
      </c>
      <c r="J88" s="3" t="s">
        <v>22</v>
      </c>
      <c r="K88" s="4">
        <v>45514</v>
      </c>
      <c r="L88" s="1">
        <v>16</v>
      </c>
      <c r="M88" s="3" t="s">
        <v>43</v>
      </c>
    </row>
    <row r="89" spans="1:13" x14ac:dyDescent="0.3">
      <c r="A89" s="3">
        <v>88</v>
      </c>
      <c r="B89" s="4">
        <v>45568</v>
      </c>
      <c r="C89" s="4" t="s">
        <v>67</v>
      </c>
      <c r="D89" s="5">
        <v>0.50138888888888888</v>
      </c>
      <c r="E89" s="3" t="s">
        <v>34</v>
      </c>
      <c r="F89" s="3" t="s">
        <v>24</v>
      </c>
      <c r="G89" s="3" t="s">
        <v>14</v>
      </c>
      <c r="H89" s="3" t="s">
        <v>16</v>
      </c>
      <c r="I89" s="3" t="s">
        <v>18</v>
      </c>
      <c r="J89" s="3" t="s">
        <v>22</v>
      </c>
      <c r="K89" s="4">
        <v>45569</v>
      </c>
      <c r="L89" s="1">
        <v>4</v>
      </c>
      <c r="M89" s="3" t="s">
        <v>43</v>
      </c>
    </row>
    <row r="90" spans="1:13" x14ac:dyDescent="0.3">
      <c r="A90" s="3">
        <v>89</v>
      </c>
      <c r="B90" s="4">
        <v>45060</v>
      </c>
      <c r="C90" s="4" t="s">
        <v>54</v>
      </c>
      <c r="D90" s="5">
        <v>0.32847222222222222</v>
      </c>
      <c r="E90" s="3" t="s">
        <v>23</v>
      </c>
      <c r="F90" s="3" t="s">
        <v>24</v>
      </c>
      <c r="G90" s="3" t="s">
        <v>14</v>
      </c>
      <c r="H90" s="3" t="s">
        <v>41</v>
      </c>
      <c r="I90" s="3" t="s">
        <v>18</v>
      </c>
      <c r="J90" s="3" t="s">
        <v>22</v>
      </c>
      <c r="K90" s="4">
        <v>45060</v>
      </c>
      <c r="L90" s="1">
        <v>4</v>
      </c>
      <c r="M90" s="3" t="s">
        <v>43</v>
      </c>
    </row>
    <row r="91" spans="1:13" x14ac:dyDescent="0.3">
      <c r="A91" s="3">
        <v>90</v>
      </c>
      <c r="B91" s="4">
        <v>45525</v>
      </c>
      <c r="C91" s="4" t="s">
        <v>64</v>
      </c>
      <c r="D91" s="5">
        <v>0.79930555555555549</v>
      </c>
      <c r="E91" s="3" t="s">
        <v>31</v>
      </c>
      <c r="F91" s="3" t="s">
        <v>24</v>
      </c>
      <c r="G91" s="3" t="s">
        <v>38</v>
      </c>
      <c r="H91" s="3" t="s">
        <v>40</v>
      </c>
      <c r="I91" s="3" t="s">
        <v>17</v>
      </c>
      <c r="J91" s="3" t="s">
        <v>21</v>
      </c>
      <c r="K91" s="4" t="s">
        <v>42</v>
      </c>
      <c r="L91" s="1" t="s">
        <v>42</v>
      </c>
      <c r="M91" s="3" t="s">
        <v>43</v>
      </c>
    </row>
    <row r="92" spans="1:13" x14ac:dyDescent="0.3">
      <c r="A92" s="3">
        <v>91</v>
      </c>
      <c r="B92" s="4">
        <v>45237</v>
      </c>
      <c r="C92" s="4" t="s">
        <v>46</v>
      </c>
      <c r="D92" s="5">
        <v>0.43333333333333335</v>
      </c>
      <c r="E92" s="3" t="s">
        <v>32</v>
      </c>
      <c r="F92" s="3" t="s">
        <v>24</v>
      </c>
      <c r="G92" s="3" t="s">
        <v>37</v>
      </c>
      <c r="H92" s="3" t="s">
        <v>41</v>
      </c>
      <c r="I92" s="3" t="s">
        <v>18</v>
      </c>
      <c r="J92" s="3" t="s">
        <v>21</v>
      </c>
      <c r="K92" s="4" t="s">
        <v>42</v>
      </c>
      <c r="L92" s="1" t="s">
        <v>42</v>
      </c>
      <c r="M92" s="3" t="s">
        <v>43</v>
      </c>
    </row>
    <row r="93" spans="1:13" x14ac:dyDescent="0.3">
      <c r="A93" s="3">
        <v>92</v>
      </c>
      <c r="B93" s="4">
        <v>45197</v>
      </c>
      <c r="C93" s="4" t="s">
        <v>51</v>
      </c>
      <c r="D93" s="5">
        <v>0.92430555555555549</v>
      </c>
      <c r="E93" s="3" t="s">
        <v>27</v>
      </c>
      <c r="F93" s="3" t="s">
        <v>24</v>
      </c>
      <c r="G93" s="3" t="s">
        <v>13</v>
      </c>
      <c r="H93" s="3" t="s">
        <v>40</v>
      </c>
      <c r="I93" s="3" t="s">
        <v>18</v>
      </c>
      <c r="J93" s="3" t="s">
        <v>22</v>
      </c>
      <c r="K93" s="4">
        <v>45199</v>
      </c>
      <c r="L93" s="1">
        <v>7</v>
      </c>
      <c r="M93" s="3" t="s">
        <v>25</v>
      </c>
    </row>
    <row r="94" spans="1:13" x14ac:dyDescent="0.3">
      <c r="A94" s="3">
        <v>93</v>
      </c>
      <c r="B94" s="4">
        <v>45539</v>
      </c>
      <c r="C94" s="4" t="s">
        <v>66</v>
      </c>
      <c r="D94" s="5">
        <v>0.56944444444444442</v>
      </c>
      <c r="E94" s="3" t="s">
        <v>32</v>
      </c>
      <c r="F94" s="3" t="s">
        <v>24</v>
      </c>
      <c r="G94" s="3" t="s">
        <v>12</v>
      </c>
      <c r="H94" s="3" t="s">
        <v>15</v>
      </c>
      <c r="I94" s="3" t="s">
        <v>18</v>
      </c>
      <c r="J94" s="3" t="s">
        <v>21</v>
      </c>
      <c r="K94" s="4" t="s">
        <v>42</v>
      </c>
      <c r="L94" s="1" t="s">
        <v>42</v>
      </c>
      <c r="M94" s="3" t="s">
        <v>25</v>
      </c>
    </row>
    <row r="95" spans="1:13" x14ac:dyDescent="0.3">
      <c r="A95" s="3">
        <v>94</v>
      </c>
      <c r="B95" s="4">
        <v>45126</v>
      </c>
      <c r="C95" s="4" t="s">
        <v>53</v>
      </c>
      <c r="D95" s="5">
        <v>0.52361111111111114</v>
      </c>
      <c r="E95" s="3" t="s">
        <v>35</v>
      </c>
      <c r="F95" s="3" t="s">
        <v>24</v>
      </c>
      <c r="G95" s="3" t="s">
        <v>14</v>
      </c>
      <c r="H95" s="3" t="s">
        <v>41</v>
      </c>
      <c r="I95" s="3" t="s">
        <v>19</v>
      </c>
      <c r="J95" s="3" t="s">
        <v>20</v>
      </c>
      <c r="K95" s="4" t="s">
        <v>42</v>
      </c>
      <c r="L95" s="1" t="s">
        <v>42</v>
      </c>
      <c r="M95" s="3" t="s">
        <v>43</v>
      </c>
    </row>
    <row r="96" spans="1:13" x14ac:dyDescent="0.3">
      <c r="A96" s="3">
        <v>95</v>
      </c>
      <c r="B96" s="4">
        <v>45358</v>
      </c>
      <c r="C96" s="4" t="s">
        <v>62</v>
      </c>
      <c r="D96" s="5">
        <v>0.65833333333333333</v>
      </c>
      <c r="E96" s="3" t="s">
        <v>31</v>
      </c>
      <c r="F96" s="3" t="s">
        <v>24</v>
      </c>
      <c r="G96" s="3" t="s">
        <v>12</v>
      </c>
      <c r="H96" s="3" t="s">
        <v>15</v>
      </c>
      <c r="I96" s="3" t="s">
        <v>17</v>
      </c>
      <c r="J96" s="3" t="s">
        <v>20</v>
      </c>
      <c r="K96" s="4" t="s">
        <v>42</v>
      </c>
      <c r="L96" s="1" t="s">
        <v>42</v>
      </c>
      <c r="M96" s="3" t="s">
        <v>25</v>
      </c>
    </row>
    <row r="97" spans="1:13" x14ac:dyDescent="0.3">
      <c r="A97" s="3">
        <v>96</v>
      </c>
      <c r="B97" s="4">
        <v>45456</v>
      </c>
      <c r="C97" s="4" t="s">
        <v>58</v>
      </c>
      <c r="D97" s="5">
        <v>0.15625</v>
      </c>
      <c r="E97" s="3" t="s">
        <v>36</v>
      </c>
      <c r="F97" s="3" t="s">
        <v>24</v>
      </c>
      <c r="G97" s="3" t="s">
        <v>37</v>
      </c>
      <c r="H97" s="3" t="s">
        <v>15</v>
      </c>
      <c r="I97" s="3" t="s">
        <v>17</v>
      </c>
      <c r="J97" s="3" t="s">
        <v>22</v>
      </c>
      <c r="K97" s="4">
        <v>45458</v>
      </c>
      <c r="L97" s="1">
        <v>4</v>
      </c>
      <c r="M97" s="3" t="s">
        <v>43</v>
      </c>
    </row>
    <row r="98" spans="1:13" x14ac:dyDescent="0.3">
      <c r="A98" s="3">
        <v>97</v>
      </c>
      <c r="B98" s="4">
        <v>45093</v>
      </c>
      <c r="C98" s="4" t="s">
        <v>50</v>
      </c>
      <c r="D98" s="5">
        <v>0.71250000000000002</v>
      </c>
      <c r="E98" s="3" t="s">
        <v>31</v>
      </c>
      <c r="F98" s="3" t="s">
        <v>24</v>
      </c>
      <c r="G98" s="3" t="s">
        <v>38</v>
      </c>
      <c r="H98" s="3" t="s">
        <v>41</v>
      </c>
      <c r="I98" s="3" t="s">
        <v>19</v>
      </c>
      <c r="J98" s="3" t="s">
        <v>22</v>
      </c>
      <c r="K98" s="4">
        <v>45095</v>
      </c>
      <c r="L98" s="1">
        <v>20</v>
      </c>
      <c r="M98" s="3" t="s">
        <v>43</v>
      </c>
    </row>
    <row r="99" spans="1:13" x14ac:dyDescent="0.3">
      <c r="A99" s="3">
        <v>98</v>
      </c>
      <c r="B99" s="4">
        <v>45405</v>
      </c>
      <c r="C99" s="4" t="s">
        <v>57</v>
      </c>
      <c r="D99" s="5">
        <v>0.75694444444444442</v>
      </c>
      <c r="E99" s="3" t="s">
        <v>28</v>
      </c>
      <c r="F99" s="3" t="s">
        <v>24</v>
      </c>
      <c r="G99" s="3" t="s">
        <v>13</v>
      </c>
      <c r="H99" s="3" t="s">
        <v>16</v>
      </c>
      <c r="I99" s="3" t="s">
        <v>17</v>
      </c>
      <c r="J99" s="3" t="s">
        <v>22</v>
      </c>
      <c r="K99" s="4">
        <v>45405</v>
      </c>
      <c r="L99" s="1">
        <v>12</v>
      </c>
      <c r="M99" s="3" t="s">
        <v>25</v>
      </c>
    </row>
    <row r="100" spans="1:13" x14ac:dyDescent="0.3">
      <c r="A100" s="3">
        <v>99</v>
      </c>
      <c r="B100" s="4">
        <v>45609</v>
      </c>
      <c r="C100" s="4" t="s">
        <v>68</v>
      </c>
      <c r="D100" s="5">
        <v>0.52777777777777779</v>
      </c>
      <c r="E100" s="3" t="s">
        <v>27</v>
      </c>
      <c r="F100" s="3" t="s">
        <v>24</v>
      </c>
      <c r="G100" s="3" t="s">
        <v>37</v>
      </c>
      <c r="H100" s="3" t="s">
        <v>40</v>
      </c>
      <c r="I100" s="3" t="s">
        <v>17</v>
      </c>
      <c r="J100" s="3" t="s">
        <v>22</v>
      </c>
      <c r="K100" s="4">
        <v>45611</v>
      </c>
      <c r="L100" s="1">
        <v>24</v>
      </c>
      <c r="M100" s="3" t="s">
        <v>43</v>
      </c>
    </row>
    <row r="101" spans="1:13" x14ac:dyDescent="0.3">
      <c r="A101" s="3">
        <v>100</v>
      </c>
      <c r="B101" s="4">
        <v>45240</v>
      </c>
      <c r="C101" s="4" t="s">
        <v>46</v>
      </c>
      <c r="D101" s="5">
        <v>0.14444444444444443</v>
      </c>
      <c r="E101" s="3" t="s">
        <v>26</v>
      </c>
      <c r="F101" s="3" t="s">
        <v>24</v>
      </c>
      <c r="G101" s="3" t="s">
        <v>39</v>
      </c>
      <c r="H101" s="3" t="s">
        <v>16</v>
      </c>
      <c r="I101" s="3" t="s">
        <v>18</v>
      </c>
      <c r="J101" s="3" t="s">
        <v>21</v>
      </c>
      <c r="K101" s="4" t="s">
        <v>42</v>
      </c>
      <c r="L101" s="1" t="s">
        <v>42</v>
      </c>
      <c r="M101" s="3" t="s">
        <v>43</v>
      </c>
    </row>
    <row r="102" spans="1:13" x14ac:dyDescent="0.3">
      <c r="A102" s="3">
        <v>101</v>
      </c>
      <c r="B102" s="4">
        <v>45098</v>
      </c>
      <c r="C102" s="4" t="s">
        <v>50</v>
      </c>
      <c r="D102" s="5">
        <v>0.98541666666666672</v>
      </c>
      <c r="E102" s="3" t="s">
        <v>36</v>
      </c>
      <c r="F102" s="3" t="s">
        <v>24</v>
      </c>
      <c r="G102" s="3" t="s">
        <v>38</v>
      </c>
      <c r="H102" s="3" t="s">
        <v>15</v>
      </c>
      <c r="I102" s="3" t="s">
        <v>17</v>
      </c>
      <c r="J102" s="3" t="s">
        <v>22</v>
      </c>
      <c r="K102" s="4">
        <v>45099</v>
      </c>
      <c r="L102" s="1">
        <v>8</v>
      </c>
      <c r="M102" s="3" t="s">
        <v>43</v>
      </c>
    </row>
    <row r="103" spans="1:13" x14ac:dyDescent="0.3">
      <c r="A103" s="3">
        <v>102</v>
      </c>
      <c r="B103" s="4">
        <v>45275</v>
      </c>
      <c r="C103" s="4" t="s">
        <v>60</v>
      </c>
      <c r="D103" s="5">
        <v>8.6805555555555552E-2</v>
      </c>
      <c r="E103" s="3" t="s">
        <v>34</v>
      </c>
      <c r="F103" s="3" t="s">
        <v>24</v>
      </c>
      <c r="G103" s="3" t="s">
        <v>13</v>
      </c>
      <c r="H103" s="3" t="s">
        <v>40</v>
      </c>
      <c r="I103" s="3" t="s">
        <v>17</v>
      </c>
      <c r="J103" s="3" t="s">
        <v>21</v>
      </c>
      <c r="K103" s="4" t="s">
        <v>42</v>
      </c>
      <c r="L103" s="1" t="s">
        <v>42</v>
      </c>
      <c r="M103" s="3" t="s">
        <v>25</v>
      </c>
    </row>
    <row r="104" spans="1:13" x14ac:dyDescent="0.3">
      <c r="A104" s="3">
        <v>103</v>
      </c>
      <c r="B104" s="4">
        <v>45455</v>
      </c>
      <c r="C104" s="4" t="s">
        <v>58</v>
      </c>
      <c r="D104" s="5">
        <v>0.4555555555555556</v>
      </c>
      <c r="E104" s="3" t="s">
        <v>35</v>
      </c>
      <c r="F104" s="3" t="s">
        <v>24</v>
      </c>
      <c r="G104" s="3" t="s">
        <v>14</v>
      </c>
      <c r="H104" s="3" t="s">
        <v>41</v>
      </c>
      <c r="I104" s="3" t="s">
        <v>18</v>
      </c>
      <c r="J104" s="3" t="s">
        <v>22</v>
      </c>
      <c r="K104" s="4">
        <v>45457</v>
      </c>
      <c r="L104" s="1">
        <v>13</v>
      </c>
      <c r="M104" s="3" t="s">
        <v>43</v>
      </c>
    </row>
    <row r="105" spans="1:13" x14ac:dyDescent="0.3">
      <c r="A105" s="3">
        <v>104</v>
      </c>
      <c r="B105" s="4">
        <v>45278</v>
      </c>
      <c r="C105" s="4" t="s">
        <v>60</v>
      </c>
      <c r="D105" s="5">
        <v>0.52430555555555558</v>
      </c>
      <c r="E105" s="3" t="s">
        <v>33</v>
      </c>
      <c r="F105" s="3" t="s">
        <v>24</v>
      </c>
      <c r="G105" s="3" t="s">
        <v>38</v>
      </c>
      <c r="H105" s="3" t="s">
        <v>15</v>
      </c>
      <c r="I105" s="3" t="s">
        <v>18</v>
      </c>
      <c r="J105" s="3" t="s">
        <v>22</v>
      </c>
      <c r="K105" s="4">
        <v>45278</v>
      </c>
      <c r="L105" s="1">
        <v>5</v>
      </c>
      <c r="M105" s="3" t="s">
        <v>43</v>
      </c>
    </row>
    <row r="106" spans="1:13" x14ac:dyDescent="0.3">
      <c r="A106" s="3">
        <v>105</v>
      </c>
      <c r="B106" s="4">
        <v>45239</v>
      </c>
      <c r="C106" s="4" t="s">
        <v>46</v>
      </c>
      <c r="D106" s="5">
        <v>0.97222222222222221</v>
      </c>
      <c r="E106" s="3" t="s">
        <v>36</v>
      </c>
      <c r="F106" s="3" t="s">
        <v>24</v>
      </c>
      <c r="G106" s="3" t="s">
        <v>13</v>
      </c>
      <c r="H106" s="3" t="s">
        <v>41</v>
      </c>
      <c r="I106" s="3" t="s">
        <v>17</v>
      </c>
      <c r="J106" s="3" t="s">
        <v>20</v>
      </c>
      <c r="K106" s="4" t="s">
        <v>42</v>
      </c>
      <c r="L106" s="1" t="s">
        <v>42</v>
      </c>
      <c r="M106" s="3" t="s">
        <v>25</v>
      </c>
    </row>
    <row r="107" spans="1:13" x14ac:dyDescent="0.3">
      <c r="A107" s="3">
        <v>106</v>
      </c>
      <c r="B107" s="4">
        <v>45435</v>
      </c>
      <c r="C107" s="4" t="s">
        <v>47</v>
      </c>
      <c r="D107" s="5">
        <v>0.67222222222222217</v>
      </c>
      <c r="E107" s="3" t="s">
        <v>36</v>
      </c>
      <c r="F107" s="3" t="s">
        <v>24</v>
      </c>
      <c r="G107" s="3" t="s">
        <v>39</v>
      </c>
      <c r="H107" s="3" t="s">
        <v>40</v>
      </c>
      <c r="I107" s="3" t="s">
        <v>19</v>
      </c>
      <c r="J107" s="3" t="s">
        <v>22</v>
      </c>
      <c r="K107" s="4">
        <v>45436</v>
      </c>
      <c r="L107" s="1">
        <v>8</v>
      </c>
      <c r="M107" s="3" t="s">
        <v>43</v>
      </c>
    </row>
    <row r="108" spans="1:13" x14ac:dyDescent="0.3">
      <c r="A108" s="3">
        <v>107</v>
      </c>
      <c r="B108" s="4">
        <v>45154</v>
      </c>
      <c r="C108" s="4" t="s">
        <v>69</v>
      </c>
      <c r="D108" s="5">
        <v>0.24097222222222223</v>
      </c>
      <c r="E108" s="3" t="s">
        <v>29</v>
      </c>
      <c r="F108" s="3" t="s">
        <v>24</v>
      </c>
      <c r="G108" s="3" t="s">
        <v>12</v>
      </c>
      <c r="H108" s="3" t="s">
        <v>15</v>
      </c>
      <c r="I108" s="3" t="s">
        <v>19</v>
      </c>
      <c r="J108" s="3" t="s">
        <v>21</v>
      </c>
      <c r="K108" s="4" t="s">
        <v>42</v>
      </c>
      <c r="L108" s="1" t="s">
        <v>42</v>
      </c>
      <c r="M108" s="3" t="s">
        <v>25</v>
      </c>
    </row>
    <row r="109" spans="1:13" x14ac:dyDescent="0.3">
      <c r="A109" s="3">
        <v>108</v>
      </c>
      <c r="B109" s="4">
        <v>45574</v>
      </c>
      <c r="C109" s="4" t="s">
        <v>67</v>
      </c>
      <c r="D109" s="5">
        <v>0.10138888888888889</v>
      </c>
      <c r="E109" s="3" t="s">
        <v>28</v>
      </c>
      <c r="F109" s="3" t="s">
        <v>24</v>
      </c>
      <c r="G109" s="3" t="s">
        <v>38</v>
      </c>
      <c r="H109" s="3" t="s">
        <v>41</v>
      </c>
      <c r="I109" s="3" t="s">
        <v>19</v>
      </c>
      <c r="J109" s="3" t="s">
        <v>21</v>
      </c>
      <c r="K109" s="4" t="s">
        <v>42</v>
      </c>
      <c r="L109" s="1" t="s">
        <v>42</v>
      </c>
      <c r="M109" s="3" t="s">
        <v>43</v>
      </c>
    </row>
    <row r="110" spans="1:13" x14ac:dyDescent="0.3">
      <c r="A110" s="3">
        <v>109</v>
      </c>
      <c r="B110" s="4">
        <v>45459</v>
      </c>
      <c r="C110" s="4" t="s">
        <v>58</v>
      </c>
      <c r="D110" s="5">
        <v>0.37708333333333333</v>
      </c>
      <c r="E110" s="3" t="s">
        <v>35</v>
      </c>
      <c r="F110" s="3" t="s">
        <v>24</v>
      </c>
      <c r="G110" s="3" t="s">
        <v>14</v>
      </c>
      <c r="H110" s="3" t="s">
        <v>15</v>
      </c>
      <c r="I110" s="3" t="s">
        <v>18</v>
      </c>
      <c r="J110" s="3" t="s">
        <v>21</v>
      </c>
      <c r="K110" s="4" t="s">
        <v>42</v>
      </c>
      <c r="L110" s="1" t="s">
        <v>42</v>
      </c>
      <c r="M110" s="3" t="s">
        <v>43</v>
      </c>
    </row>
    <row r="111" spans="1:13" x14ac:dyDescent="0.3">
      <c r="A111" s="3">
        <v>110</v>
      </c>
      <c r="B111" s="4">
        <v>45102</v>
      </c>
      <c r="C111" s="4" t="s">
        <v>50</v>
      </c>
      <c r="D111" s="5">
        <v>0.36249999999999999</v>
      </c>
      <c r="E111" s="3" t="s">
        <v>34</v>
      </c>
      <c r="F111" s="3" t="s">
        <v>24</v>
      </c>
      <c r="G111" s="3" t="s">
        <v>13</v>
      </c>
      <c r="H111" s="3" t="s">
        <v>15</v>
      </c>
      <c r="I111" s="3" t="s">
        <v>18</v>
      </c>
      <c r="J111" s="3" t="s">
        <v>22</v>
      </c>
      <c r="K111" s="4">
        <v>45103</v>
      </c>
      <c r="L111" s="1">
        <v>20</v>
      </c>
      <c r="M111" s="3" t="s">
        <v>25</v>
      </c>
    </row>
    <row r="112" spans="1:13" x14ac:dyDescent="0.3">
      <c r="A112" s="3">
        <v>111</v>
      </c>
      <c r="B112" s="4">
        <v>45478</v>
      </c>
      <c r="C112" s="4" t="s">
        <v>65</v>
      </c>
      <c r="D112" s="5">
        <v>0.5131944444444444</v>
      </c>
      <c r="E112" s="3" t="s">
        <v>33</v>
      </c>
      <c r="F112" s="3" t="s">
        <v>24</v>
      </c>
      <c r="G112" s="3" t="s">
        <v>13</v>
      </c>
      <c r="H112" s="3" t="s">
        <v>40</v>
      </c>
      <c r="I112" s="3" t="s">
        <v>18</v>
      </c>
      <c r="J112" s="3" t="s">
        <v>22</v>
      </c>
      <c r="K112" s="4">
        <v>45479</v>
      </c>
      <c r="L112" s="1">
        <v>16</v>
      </c>
      <c r="M112" s="3" t="s">
        <v>25</v>
      </c>
    </row>
    <row r="113" spans="1:13" x14ac:dyDescent="0.3">
      <c r="A113" s="3">
        <v>112</v>
      </c>
      <c r="B113" s="4">
        <v>45149</v>
      </c>
      <c r="C113" s="4" t="s">
        <v>69</v>
      </c>
      <c r="D113" s="5">
        <v>0.60208333333333341</v>
      </c>
      <c r="E113" s="3" t="s">
        <v>28</v>
      </c>
      <c r="F113" s="3" t="s">
        <v>24</v>
      </c>
      <c r="G113" s="3" t="s">
        <v>12</v>
      </c>
      <c r="H113" s="3" t="s">
        <v>41</v>
      </c>
      <c r="I113" s="3" t="s">
        <v>18</v>
      </c>
      <c r="J113" s="3" t="s">
        <v>22</v>
      </c>
      <c r="K113" s="4">
        <v>45151</v>
      </c>
      <c r="L113" s="1">
        <v>12</v>
      </c>
      <c r="M113" s="3" t="s">
        <v>25</v>
      </c>
    </row>
    <row r="114" spans="1:13" x14ac:dyDescent="0.3">
      <c r="A114" s="3">
        <v>113</v>
      </c>
      <c r="B114" s="4">
        <v>45000</v>
      </c>
      <c r="C114" s="4" t="s">
        <v>48</v>
      </c>
      <c r="D114" s="5">
        <v>0.27152777777777776</v>
      </c>
      <c r="E114" s="3" t="s">
        <v>33</v>
      </c>
      <c r="F114" s="3" t="s">
        <v>24</v>
      </c>
      <c r="G114" s="3" t="s">
        <v>38</v>
      </c>
      <c r="H114" s="3" t="s">
        <v>40</v>
      </c>
      <c r="I114" s="3" t="s">
        <v>18</v>
      </c>
      <c r="J114" s="3" t="s">
        <v>22</v>
      </c>
      <c r="K114" s="4">
        <v>45001</v>
      </c>
      <c r="L114" s="1">
        <v>16</v>
      </c>
      <c r="M114" s="3" t="s">
        <v>43</v>
      </c>
    </row>
    <row r="115" spans="1:13" x14ac:dyDescent="0.3">
      <c r="A115" s="3">
        <v>114</v>
      </c>
      <c r="B115" s="4">
        <v>45418</v>
      </c>
      <c r="C115" s="4" t="s">
        <v>47</v>
      </c>
      <c r="D115" s="5">
        <v>0.7104166666666667</v>
      </c>
      <c r="E115" s="3" t="s">
        <v>33</v>
      </c>
      <c r="F115" s="3" t="s">
        <v>24</v>
      </c>
      <c r="G115" s="3" t="s">
        <v>12</v>
      </c>
      <c r="H115" s="3" t="s">
        <v>16</v>
      </c>
      <c r="I115" s="3" t="s">
        <v>18</v>
      </c>
      <c r="J115" s="3" t="s">
        <v>22</v>
      </c>
      <c r="K115" s="4">
        <v>45420</v>
      </c>
      <c r="L115" s="1">
        <v>8</v>
      </c>
      <c r="M115" s="3" t="s">
        <v>25</v>
      </c>
    </row>
    <row r="116" spans="1:13" x14ac:dyDescent="0.3">
      <c r="A116" s="3">
        <v>115</v>
      </c>
      <c r="B116" s="4">
        <v>45609</v>
      </c>
      <c r="C116" s="4" t="s">
        <v>68</v>
      </c>
      <c r="D116" s="5">
        <v>0.41180555555555554</v>
      </c>
      <c r="E116" s="3" t="s">
        <v>35</v>
      </c>
      <c r="F116" s="3" t="s">
        <v>24</v>
      </c>
      <c r="G116" s="3" t="s">
        <v>38</v>
      </c>
      <c r="H116" s="3" t="s">
        <v>40</v>
      </c>
      <c r="I116" s="3" t="s">
        <v>18</v>
      </c>
      <c r="J116" s="3" t="s">
        <v>21</v>
      </c>
      <c r="K116" s="4" t="s">
        <v>42</v>
      </c>
      <c r="L116" s="1" t="s">
        <v>42</v>
      </c>
      <c r="M116" s="3" t="s">
        <v>43</v>
      </c>
    </row>
    <row r="117" spans="1:13" x14ac:dyDescent="0.3">
      <c r="A117" s="3">
        <v>116</v>
      </c>
      <c r="B117" s="4">
        <v>45226</v>
      </c>
      <c r="C117" s="4" t="s">
        <v>56</v>
      </c>
      <c r="D117" s="5">
        <v>0.70624999999999993</v>
      </c>
      <c r="E117" s="3" t="s">
        <v>32</v>
      </c>
      <c r="F117" s="3" t="s">
        <v>24</v>
      </c>
      <c r="G117" s="3" t="s">
        <v>38</v>
      </c>
      <c r="H117" s="3" t="s">
        <v>40</v>
      </c>
      <c r="I117" s="3" t="s">
        <v>18</v>
      </c>
      <c r="J117" s="3" t="s">
        <v>22</v>
      </c>
      <c r="K117" s="4">
        <v>45228</v>
      </c>
      <c r="L117" s="1">
        <v>17</v>
      </c>
      <c r="M117" s="3" t="s">
        <v>43</v>
      </c>
    </row>
    <row r="118" spans="1:13" x14ac:dyDescent="0.3">
      <c r="A118" s="3">
        <v>117</v>
      </c>
      <c r="B118" s="4">
        <v>44933</v>
      </c>
      <c r="C118" s="4" t="s">
        <v>49</v>
      </c>
      <c r="D118" s="5">
        <v>0.85138888888888897</v>
      </c>
      <c r="E118" s="3" t="s">
        <v>33</v>
      </c>
      <c r="F118" s="3" t="s">
        <v>24</v>
      </c>
      <c r="G118" s="3" t="s">
        <v>13</v>
      </c>
      <c r="H118" s="3" t="s">
        <v>41</v>
      </c>
      <c r="I118" s="3" t="s">
        <v>18</v>
      </c>
      <c r="J118" s="3" t="s">
        <v>22</v>
      </c>
      <c r="K118" s="4">
        <v>44934</v>
      </c>
      <c r="L118" s="1">
        <v>22</v>
      </c>
      <c r="M118" s="3" t="s">
        <v>25</v>
      </c>
    </row>
    <row r="119" spans="1:13" x14ac:dyDescent="0.3">
      <c r="A119" s="3">
        <v>118</v>
      </c>
      <c r="B119" s="4">
        <v>45587</v>
      </c>
      <c r="C119" s="4" t="s">
        <v>67</v>
      </c>
      <c r="D119" s="5">
        <v>0.34444444444444444</v>
      </c>
      <c r="E119" s="3" t="s">
        <v>28</v>
      </c>
      <c r="F119" s="3" t="s">
        <v>24</v>
      </c>
      <c r="G119" s="3" t="s">
        <v>38</v>
      </c>
      <c r="H119" s="3" t="s">
        <v>40</v>
      </c>
      <c r="I119" s="3" t="s">
        <v>17</v>
      </c>
      <c r="J119" s="3" t="s">
        <v>22</v>
      </c>
      <c r="K119" s="4">
        <v>45588</v>
      </c>
      <c r="L119" s="1">
        <v>1</v>
      </c>
      <c r="M119" s="3" t="s">
        <v>43</v>
      </c>
    </row>
    <row r="120" spans="1:13" x14ac:dyDescent="0.3">
      <c r="A120" s="3">
        <v>119</v>
      </c>
      <c r="B120" s="4">
        <v>45081</v>
      </c>
      <c r="C120" s="4" t="s">
        <v>50</v>
      </c>
      <c r="D120" s="5">
        <v>0.41041666666666665</v>
      </c>
      <c r="E120" s="3" t="s">
        <v>27</v>
      </c>
      <c r="F120" s="3" t="s">
        <v>24</v>
      </c>
      <c r="G120" s="3" t="s">
        <v>14</v>
      </c>
      <c r="H120" s="3" t="s">
        <v>40</v>
      </c>
      <c r="I120" s="3" t="s">
        <v>18</v>
      </c>
      <c r="J120" s="3" t="s">
        <v>22</v>
      </c>
      <c r="K120" s="4">
        <v>45082</v>
      </c>
      <c r="L120" s="1">
        <v>15</v>
      </c>
      <c r="M120" s="3" t="s">
        <v>43</v>
      </c>
    </row>
    <row r="121" spans="1:13" x14ac:dyDescent="0.3">
      <c r="A121" s="3">
        <v>120</v>
      </c>
      <c r="B121" s="4">
        <v>45111</v>
      </c>
      <c r="C121" s="4" t="s">
        <v>53</v>
      </c>
      <c r="D121" s="5">
        <v>0.21666666666666667</v>
      </c>
      <c r="E121" s="3" t="s">
        <v>33</v>
      </c>
      <c r="F121" s="3" t="s">
        <v>24</v>
      </c>
      <c r="G121" s="3" t="s">
        <v>12</v>
      </c>
      <c r="H121" s="3" t="s">
        <v>41</v>
      </c>
      <c r="I121" s="3" t="s">
        <v>17</v>
      </c>
      <c r="J121" s="3" t="s">
        <v>22</v>
      </c>
      <c r="K121" s="4">
        <v>45112</v>
      </c>
      <c r="L121" s="1">
        <v>18</v>
      </c>
      <c r="M121" s="3" t="s">
        <v>25</v>
      </c>
    </row>
    <row r="122" spans="1:13" x14ac:dyDescent="0.3">
      <c r="A122" s="3">
        <v>121</v>
      </c>
      <c r="B122" s="4">
        <v>45287</v>
      </c>
      <c r="C122" s="4" t="s">
        <v>60</v>
      </c>
      <c r="D122" s="5">
        <v>0.98263888888888895</v>
      </c>
      <c r="E122" s="3" t="s">
        <v>30</v>
      </c>
      <c r="F122" s="3" t="s">
        <v>24</v>
      </c>
      <c r="G122" s="3" t="s">
        <v>12</v>
      </c>
      <c r="H122" s="3" t="s">
        <v>41</v>
      </c>
      <c r="I122" s="3" t="s">
        <v>19</v>
      </c>
      <c r="J122" s="3" t="s">
        <v>22</v>
      </c>
      <c r="K122" s="4">
        <v>45289</v>
      </c>
      <c r="L122" s="1">
        <v>14</v>
      </c>
      <c r="M122" s="3" t="s">
        <v>25</v>
      </c>
    </row>
    <row r="123" spans="1:13" x14ac:dyDescent="0.3">
      <c r="A123" s="3">
        <v>122</v>
      </c>
      <c r="B123" s="4">
        <v>45610</v>
      </c>
      <c r="C123" s="4" t="s">
        <v>68</v>
      </c>
      <c r="D123" s="5">
        <v>0.98541666666666672</v>
      </c>
      <c r="E123" s="3" t="s">
        <v>36</v>
      </c>
      <c r="F123" s="3" t="s">
        <v>24</v>
      </c>
      <c r="G123" s="3" t="s">
        <v>38</v>
      </c>
      <c r="H123" s="3" t="s">
        <v>16</v>
      </c>
      <c r="I123" s="3" t="s">
        <v>19</v>
      </c>
      <c r="J123" s="3" t="s">
        <v>22</v>
      </c>
      <c r="K123" s="4">
        <v>45612</v>
      </c>
      <c r="L123" s="1">
        <v>2</v>
      </c>
      <c r="M123" s="3" t="s">
        <v>43</v>
      </c>
    </row>
    <row r="124" spans="1:13" x14ac:dyDescent="0.3">
      <c r="A124" s="3">
        <v>123</v>
      </c>
      <c r="B124" s="4">
        <v>45420</v>
      </c>
      <c r="C124" s="4" t="s">
        <v>47</v>
      </c>
      <c r="D124" s="5">
        <v>0.83472222222222225</v>
      </c>
      <c r="E124" s="3" t="s">
        <v>27</v>
      </c>
      <c r="F124" s="3" t="s">
        <v>24</v>
      </c>
      <c r="G124" s="3" t="s">
        <v>39</v>
      </c>
      <c r="H124" s="3" t="s">
        <v>15</v>
      </c>
      <c r="I124" s="3" t="s">
        <v>19</v>
      </c>
      <c r="J124" s="3" t="s">
        <v>22</v>
      </c>
      <c r="K124" s="4">
        <v>45422</v>
      </c>
      <c r="L124" s="1">
        <v>20</v>
      </c>
      <c r="M124" s="3" t="s">
        <v>43</v>
      </c>
    </row>
    <row r="125" spans="1:13" x14ac:dyDescent="0.3">
      <c r="A125" s="3">
        <v>124</v>
      </c>
      <c r="B125" s="4">
        <v>45611</v>
      </c>
      <c r="C125" s="4" t="s">
        <v>68</v>
      </c>
      <c r="D125" s="5">
        <v>0.20555555555555555</v>
      </c>
      <c r="E125" s="3" t="s">
        <v>29</v>
      </c>
      <c r="F125" s="3" t="s">
        <v>24</v>
      </c>
      <c r="G125" s="3" t="s">
        <v>37</v>
      </c>
      <c r="H125" s="3" t="s">
        <v>15</v>
      </c>
      <c r="I125" s="3" t="s">
        <v>17</v>
      </c>
      <c r="J125" s="3" t="s">
        <v>22</v>
      </c>
      <c r="K125" s="4">
        <v>45611</v>
      </c>
      <c r="L125" s="1">
        <v>24</v>
      </c>
      <c r="M125" s="3" t="s">
        <v>43</v>
      </c>
    </row>
    <row r="126" spans="1:13" x14ac:dyDescent="0.3">
      <c r="A126" s="3">
        <v>125</v>
      </c>
      <c r="B126" s="4">
        <v>45431</v>
      </c>
      <c r="C126" s="4" t="s">
        <v>47</v>
      </c>
      <c r="D126" s="5">
        <v>0.74583333333333335</v>
      </c>
      <c r="E126" s="3" t="s">
        <v>30</v>
      </c>
      <c r="F126" s="3" t="s">
        <v>24</v>
      </c>
      <c r="G126" s="3" t="s">
        <v>14</v>
      </c>
      <c r="H126" s="3" t="s">
        <v>15</v>
      </c>
      <c r="I126" s="3" t="s">
        <v>19</v>
      </c>
      <c r="J126" s="3" t="s">
        <v>21</v>
      </c>
      <c r="K126" s="4" t="s">
        <v>42</v>
      </c>
      <c r="L126" s="1" t="s">
        <v>42</v>
      </c>
      <c r="M126" s="3" t="s">
        <v>43</v>
      </c>
    </row>
    <row r="127" spans="1:13" x14ac:dyDescent="0.3">
      <c r="A127" s="3">
        <v>126</v>
      </c>
      <c r="B127" s="4">
        <v>45375</v>
      </c>
      <c r="C127" s="4" t="s">
        <v>62</v>
      </c>
      <c r="D127" s="5">
        <v>0.70624999999999993</v>
      </c>
      <c r="E127" s="3" t="s">
        <v>28</v>
      </c>
      <c r="F127" s="3" t="s">
        <v>24</v>
      </c>
      <c r="G127" s="3" t="s">
        <v>12</v>
      </c>
      <c r="H127" s="3" t="s">
        <v>16</v>
      </c>
      <c r="I127" s="3" t="s">
        <v>19</v>
      </c>
      <c r="J127" s="3" t="s">
        <v>21</v>
      </c>
      <c r="K127" s="4" t="s">
        <v>42</v>
      </c>
      <c r="L127" s="1" t="s">
        <v>42</v>
      </c>
      <c r="M127" s="3" t="s">
        <v>25</v>
      </c>
    </row>
    <row r="128" spans="1:13" x14ac:dyDescent="0.3">
      <c r="A128" s="3">
        <v>127</v>
      </c>
      <c r="B128" s="4">
        <v>45224</v>
      </c>
      <c r="C128" s="4" t="s">
        <v>56</v>
      </c>
      <c r="D128" s="5">
        <v>0.71250000000000002</v>
      </c>
      <c r="E128" s="3" t="s">
        <v>33</v>
      </c>
      <c r="F128" s="3" t="s">
        <v>24</v>
      </c>
      <c r="G128" s="3" t="s">
        <v>37</v>
      </c>
      <c r="H128" s="3" t="s">
        <v>16</v>
      </c>
      <c r="I128" s="3" t="s">
        <v>19</v>
      </c>
      <c r="J128" s="3" t="s">
        <v>22</v>
      </c>
      <c r="K128" s="4">
        <v>45224</v>
      </c>
      <c r="L128" s="1">
        <v>15</v>
      </c>
      <c r="M128" s="3" t="s">
        <v>43</v>
      </c>
    </row>
    <row r="129" spans="1:13" x14ac:dyDescent="0.3">
      <c r="A129" s="3">
        <v>128</v>
      </c>
      <c r="B129" s="4">
        <v>45159</v>
      </c>
      <c r="C129" s="4" t="s">
        <v>69</v>
      </c>
      <c r="D129" s="5">
        <v>0.57986111111111105</v>
      </c>
      <c r="E129" s="3" t="s">
        <v>26</v>
      </c>
      <c r="F129" s="3" t="s">
        <v>24</v>
      </c>
      <c r="G129" s="3" t="s">
        <v>12</v>
      </c>
      <c r="H129" s="3" t="s">
        <v>15</v>
      </c>
      <c r="I129" s="3" t="s">
        <v>17</v>
      </c>
      <c r="J129" s="3" t="s">
        <v>21</v>
      </c>
      <c r="K129" s="4" t="s">
        <v>42</v>
      </c>
      <c r="L129" s="1" t="s">
        <v>42</v>
      </c>
      <c r="M129" s="3" t="s">
        <v>25</v>
      </c>
    </row>
    <row r="130" spans="1:13" x14ac:dyDescent="0.3">
      <c r="A130" s="3">
        <v>129</v>
      </c>
      <c r="B130" s="4">
        <v>45487</v>
      </c>
      <c r="C130" s="4" t="s">
        <v>65</v>
      </c>
      <c r="D130" s="5">
        <v>0.92986111111111103</v>
      </c>
      <c r="E130" s="3" t="s">
        <v>31</v>
      </c>
      <c r="F130" s="3" t="s">
        <v>24</v>
      </c>
      <c r="G130" s="3" t="s">
        <v>38</v>
      </c>
      <c r="H130" s="3" t="s">
        <v>40</v>
      </c>
      <c r="I130" s="3" t="s">
        <v>17</v>
      </c>
      <c r="J130" s="3" t="s">
        <v>22</v>
      </c>
      <c r="K130" s="4">
        <v>45487</v>
      </c>
      <c r="L130" s="1">
        <v>23</v>
      </c>
      <c r="M130" s="3" t="s">
        <v>43</v>
      </c>
    </row>
    <row r="131" spans="1:13" x14ac:dyDescent="0.3">
      <c r="A131" s="3">
        <v>130</v>
      </c>
      <c r="B131" s="4">
        <v>45005</v>
      </c>
      <c r="C131" s="4" t="s">
        <v>48</v>
      </c>
      <c r="D131" s="5">
        <v>0.20902777777777778</v>
      </c>
      <c r="E131" s="3" t="s">
        <v>33</v>
      </c>
      <c r="F131" s="3" t="s">
        <v>24</v>
      </c>
      <c r="G131" s="3" t="s">
        <v>37</v>
      </c>
      <c r="H131" s="3" t="s">
        <v>16</v>
      </c>
      <c r="I131" s="3" t="s">
        <v>18</v>
      </c>
      <c r="J131" s="3" t="s">
        <v>22</v>
      </c>
      <c r="K131" s="4">
        <v>45005</v>
      </c>
      <c r="L131" s="1">
        <v>4</v>
      </c>
      <c r="M131" s="3" t="s">
        <v>43</v>
      </c>
    </row>
    <row r="132" spans="1:13" x14ac:dyDescent="0.3">
      <c r="A132" s="3">
        <v>131</v>
      </c>
      <c r="B132" s="4">
        <v>45036</v>
      </c>
      <c r="C132" s="4" t="s">
        <v>55</v>
      </c>
      <c r="D132" s="5">
        <v>0.27916666666666667</v>
      </c>
      <c r="E132" s="3" t="s">
        <v>31</v>
      </c>
      <c r="F132" s="3" t="s">
        <v>24</v>
      </c>
      <c r="G132" s="3" t="s">
        <v>38</v>
      </c>
      <c r="H132" s="3" t="s">
        <v>40</v>
      </c>
      <c r="I132" s="3" t="s">
        <v>18</v>
      </c>
      <c r="J132" s="3" t="s">
        <v>20</v>
      </c>
      <c r="K132" s="4" t="s">
        <v>42</v>
      </c>
      <c r="L132" s="1" t="s">
        <v>42</v>
      </c>
      <c r="M132" s="3" t="s">
        <v>43</v>
      </c>
    </row>
    <row r="133" spans="1:13" x14ac:dyDescent="0.3">
      <c r="A133" s="3">
        <v>132</v>
      </c>
      <c r="B133" s="4">
        <v>45173</v>
      </c>
      <c r="C133" s="4" t="s">
        <v>51</v>
      </c>
      <c r="D133" s="5">
        <v>0.65069444444444446</v>
      </c>
      <c r="E133" s="3" t="s">
        <v>29</v>
      </c>
      <c r="F133" s="3" t="s">
        <v>24</v>
      </c>
      <c r="G133" s="3" t="s">
        <v>39</v>
      </c>
      <c r="H133" s="3" t="s">
        <v>16</v>
      </c>
      <c r="I133" s="3" t="s">
        <v>19</v>
      </c>
      <c r="J133" s="3" t="s">
        <v>21</v>
      </c>
      <c r="K133" s="4" t="s">
        <v>42</v>
      </c>
      <c r="L133" s="1" t="s">
        <v>42</v>
      </c>
      <c r="M133" s="3" t="s">
        <v>43</v>
      </c>
    </row>
    <row r="134" spans="1:13" x14ac:dyDescent="0.3">
      <c r="A134" s="3">
        <v>133</v>
      </c>
      <c r="B134" s="4">
        <v>45331</v>
      </c>
      <c r="C134" s="4" t="s">
        <v>63</v>
      </c>
      <c r="D134" s="5">
        <v>0.84652777777777777</v>
      </c>
      <c r="E134" s="3" t="s">
        <v>33</v>
      </c>
      <c r="F134" s="3" t="s">
        <v>24</v>
      </c>
      <c r="G134" s="3" t="s">
        <v>38</v>
      </c>
      <c r="H134" s="3" t="s">
        <v>16</v>
      </c>
      <c r="I134" s="3" t="s">
        <v>17</v>
      </c>
      <c r="J134" s="3" t="s">
        <v>20</v>
      </c>
      <c r="K134" s="4" t="s">
        <v>42</v>
      </c>
      <c r="L134" s="1" t="s">
        <v>42</v>
      </c>
      <c r="M134" s="3" t="s">
        <v>43</v>
      </c>
    </row>
    <row r="135" spans="1:13" x14ac:dyDescent="0.3">
      <c r="A135" s="3">
        <v>134</v>
      </c>
      <c r="B135" s="4">
        <v>45009</v>
      </c>
      <c r="C135" s="4" t="s">
        <v>48</v>
      </c>
      <c r="D135" s="5">
        <v>0.18611111111111112</v>
      </c>
      <c r="E135" s="3" t="s">
        <v>26</v>
      </c>
      <c r="F135" s="3" t="s">
        <v>24</v>
      </c>
      <c r="G135" s="3" t="s">
        <v>38</v>
      </c>
      <c r="H135" s="3" t="s">
        <v>15</v>
      </c>
      <c r="I135" s="3" t="s">
        <v>18</v>
      </c>
      <c r="J135" s="3" t="s">
        <v>21</v>
      </c>
      <c r="K135" s="4" t="s">
        <v>42</v>
      </c>
      <c r="L135" s="1" t="s">
        <v>42</v>
      </c>
      <c r="M135" s="3" t="s">
        <v>43</v>
      </c>
    </row>
    <row r="136" spans="1:13" x14ac:dyDescent="0.3">
      <c r="A136" s="3">
        <v>135</v>
      </c>
      <c r="B136" s="4">
        <v>44940</v>
      </c>
      <c r="C136" s="4" t="s">
        <v>49</v>
      </c>
      <c r="D136" s="5">
        <v>0.28541666666666665</v>
      </c>
      <c r="E136" s="3" t="s">
        <v>26</v>
      </c>
      <c r="F136" s="3" t="s">
        <v>24</v>
      </c>
      <c r="G136" s="3" t="s">
        <v>38</v>
      </c>
      <c r="H136" s="3" t="s">
        <v>41</v>
      </c>
      <c r="I136" s="3" t="s">
        <v>18</v>
      </c>
      <c r="J136" s="3" t="s">
        <v>21</v>
      </c>
      <c r="K136" s="4" t="s">
        <v>42</v>
      </c>
      <c r="L136" s="1" t="s">
        <v>42</v>
      </c>
      <c r="M136" s="3" t="s">
        <v>43</v>
      </c>
    </row>
    <row r="137" spans="1:13" x14ac:dyDescent="0.3">
      <c r="A137" s="3">
        <v>136</v>
      </c>
      <c r="B137" s="4">
        <v>45176</v>
      </c>
      <c r="C137" s="4" t="s">
        <v>51</v>
      </c>
      <c r="D137" s="5">
        <v>0.41388888888888886</v>
      </c>
      <c r="E137" s="3" t="s">
        <v>29</v>
      </c>
      <c r="F137" s="3" t="s">
        <v>24</v>
      </c>
      <c r="G137" s="3" t="s">
        <v>39</v>
      </c>
      <c r="H137" s="3" t="s">
        <v>15</v>
      </c>
      <c r="I137" s="3" t="s">
        <v>17</v>
      </c>
      <c r="J137" s="3" t="s">
        <v>22</v>
      </c>
      <c r="K137" s="4">
        <v>45177</v>
      </c>
      <c r="L137" s="1">
        <v>15</v>
      </c>
      <c r="M137" s="3" t="s">
        <v>43</v>
      </c>
    </row>
    <row r="138" spans="1:13" x14ac:dyDescent="0.3">
      <c r="A138" s="3">
        <v>137</v>
      </c>
      <c r="B138" s="4">
        <v>45070</v>
      </c>
      <c r="C138" s="4" t="s">
        <v>54</v>
      </c>
      <c r="D138" s="5">
        <v>0.88263888888888886</v>
      </c>
      <c r="E138" s="3" t="s">
        <v>34</v>
      </c>
      <c r="F138" s="3" t="s">
        <v>24</v>
      </c>
      <c r="G138" s="3" t="s">
        <v>37</v>
      </c>
      <c r="H138" s="3" t="s">
        <v>40</v>
      </c>
      <c r="I138" s="3" t="s">
        <v>18</v>
      </c>
      <c r="J138" s="3" t="s">
        <v>21</v>
      </c>
      <c r="K138" s="4" t="s">
        <v>42</v>
      </c>
      <c r="L138" s="1" t="s">
        <v>42</v>
      </c>
      <c r="M138" s="3" t="s">
        <v>43</v>
      </c>
    </row>
    <row r="139" spans="1:13" x14ac:dyDescent="0.3">
      <c r="A139" s="3">
        <v>138</v>
      </c>
      <c r="B139" s="4">
        <v>45169</v>
      </c>
      <c r="C139" s="4" t="s">
        <v>69</v>
      </c>
      <c r="D139" s="5">
        <v>0.60069444444444453</v>
      </c>
      <c r="E139" s="3" t="s">
        <v>27</v>
      </c>
      <c r="F139" s="3" t="s">
        <v>24</v>
      </c>
      <c r="G139" s="3" t="s">
        <v>14</v>
      </c>
      <c r="H139" s="3" t="s">
        <v>41</v>
      </c>
      <c r="I139" s="3" t="s">
        <v>17</v>
      </c>
      <c r="J139" s="3" t="s">
        <v>22</v>
      </c>
      <c r="K139" s="4">
        <v>45170</v>
      </c>
      <c r="L139" s="1">
        <v>18</v>
      </c>
      <c r="M139" s="3" t="s">
        <v>43</v>
      </c>
    </row>
    <row r="140" spans="1:13" x14ac:dyDescent="0.3">
      <c r="A140" s="3">
        <v>139</v>
      </c>
      <c r="B140" s="4">
        <v>44982</v>
      </c>
      <c r="C140" s="4" t="s">
        <v>61</v>
      </c>
      <c r="D140" s="5">
        <v>0.78611111111111109</v>
      </c>
      <c r="E140" s="3" t="s">
        <v>36</v>
      </c>
      <c r="F140" s="3" t="s">
        <v>24</v>
      </c>
      <c r="G140" s="3" t="s">
        <v>13</v>
      </c>
      <c r="H140" s="3" t="s">
        <v>40</v>
      </c>
      <c r="I140" s="3" t="s">
        <v>19</v>
      </c>
      <c r="J140" s="3" t="s">
        <v>21</v>
      </c>
      <c r="K140" s="4" t="s">
        <v>42</v>
      </c>
      <c r="L140" s="1" t="s">
        <v>42</v>
      </c>
      <c r="M140" s="3" t="s">
        <v>25</v>
      </c>
    </row>
    <row r="141" spans="1:13" x14ac:dyDescent="0.3">
      <c r="A141" s="3">
        <v>140</v>
      </c>
      <c r="B141" s="4">
        <v>45130</v>
      </c>
      <c r="C141" s="4" t="s">
        <v>53</v>
      </c>
      <c r="D141" s="5">
        <v>0.22222222222222224</v>
      </c>
      <c r="E141" s="3" t="s">
        <v>36</v>
      </c>
      <c r="F141" s="3" t="s">
        <v>24</v>
      </c>
      <c r="G141" s="3" t="s">
        <v>13</v>
      </c>
      <c r="H141" s="3" t="s">
        <v>40</v>
      </c>
      <c r="I141" s="3" t="s">
        <v>18</v>
      </c>
      <c r="J141" s="3" t="s">
        <v>22</v>
      </c>
      <c r="K141" s="4">
        <v>45130</v>
      </c>
      <c r="L141" s="1">
        <v>15</v>
      </c>
      <c r="M141" s="3" t="s">
        <v>25</v>
      </c>
    </row>
    <row r="142" spans="1:13" x14ac:dyDescent="0.3">
      <c r="A142" s="3">
        <v>141</v>
      </c>
      <c r="B142" s="4">
        <v>45352</v>
      </c>
      <c r="C142" s="4" t="s">
        <v>62</v>
      </c>
      <c r="D142" s="5">
        <v>0.22430555555555556</v>
      </c>
      <c r="E142" s="3" t="s">
        <v>35</v>
      </c>
      <c r="F142" s="3" t="s">
        <v>24</v>
      </c>
      <c r="G142" s="3" t="s">
        <v>38</v>
      </c>
      <c r="H142" s="3" t="s">
        <v>16</v>
      </c>
      <c r="I142" s="3" t="s">
        <v>17</v>
      </c>
      <c r="J142" s="3" t="s">
        <v>22</v>
      </c>
      <c r="K142" s="4">
        <v>45353</v>
      </c>
      <c r="L142" s="1">
        <v>7</v>
      </c>
      <c r="M142" s="3" t="s">
        <v>43</v>
      </c>
    </row>
    <row r="143" spans="1:13" x14ac:dyDescent="0.3">
      <c r="A143" s="3">
        <v>142</v>
      </c>
      <c r="B143" s="4">
        <v>45362</v>
      </c>
      <c r="C143" s="4" t="s">
        <v>62</v>
      </c>
      <c r="D143" s="5">
        <v>0.72430555555555554</v>
      </c>
      <c r="E143" s="3" t="s">
        <v>36</v>
      </c>
      <c r="F143" s="3" t="s">
        <v>24</v>
      </c>
      <c r="G143" s="3" t="s">
        <v>38</v>
      </c>
      <c r="H143" s="3" t="s">
        <v>16</v>
      </c>
      <c r="I143" s="3" t="s">
        <v>18</v>
      </c>
      <c r="J143" s="3" t="s">
        <v>21</v>
      </c>
      <c r="K143" s="4" t="s">
        <v>42</v>
      </c>
      <c r="L143" s="1" t="s">
        <v>42</v>
      </c>
      <c r="M143" s="3" t="s">
        <v>43</v>
      </c>
    </row>
    <row r="144" spans="1:13" x14ac:dyDescent="0.3">
      <c r="A144" s="3">
        <v>143</v>
      </c>
      <c r="B144" s="4">
        <v>45513</v>
      </c>
      <c r="C144" s="4" t="s">
        <v>64</v>
      </c>
      <c r="D144" s="5">
        <v>0.13333333333333333</v>
      </c>
      <c r="E144" s="3" t="s">
        <v>29</v>
      </c>
      <c r="F144" s="3" t="s">
        <v>24</v>
      </c>
      <c r="G144" s="3" t="s">
        <v>37</v>
      </c>
      <c r="H144" s="3" t="s">
        <v>16</v>
      </c>
      <c r="I144" s="3" t="s">
        <v>19</v>
      </c>
      <c r="J144" s="3" t="s">
        <v>22</v>
      </c>
      <c r="K144" s="4">
        <v>45515</v>
      </c>
      <c r="L144" s="1">
        <v>18</v>
      </c>
      <c r="M144" s="3" t="s">
        <v>43</v>
      </c>
    </row>
    <row r="145" spans="1:13" x14ac:dyDescent="0.3">
      <c r="A145" s="3">
        <v>144</v>
      </c>
      <c r="B145" s="4">
        <v>45225</v>
      </c>
      <c r="C145" s="4" t="s">
        <v>56</v>
      </c>
      <c r="D145" s="5">
        <v>1.2500000000000001E-2</v>
      </c>
      <c r="E145" s="3" t="s">
        <v>29</v>
      </c>
      <c r="F145" s="3" t="s">
        <v>24</v>
      </c>
      <c r="G145" s="3" t="s">
        <v>39</v>
      </c>
      <c r="H145" s="3" t="s">
        <v>40</v>
      </c>
      <c r="I145" s="3" t="s">
        <v>18</v>
      </c>
      <c r="J145" s="3" t="s">
        <v>21</v>
      </c>
      <c r="K145" s="4" t="s">
        <v>42</v>
      </c>
      <c r="L145" s="1" t="s">
        <v>42</v>
      </c>
      <c r="M145" s="3" t="s">
        <v>43</v>
      </c>
    </row>
    <row r="146" spans="1:13" x14ac:dyDescent="0.3">
      <c r="A146" s="3">
        <v>145</v>
      </c>
      <c r="B146" s="4">
        <v>45371</v>
      </c>
      <c r="C146" s="4" t="s">
        <v>62</v>
      </c>
      <c r="D146" s="5">
        <v>0.21111111111111111</v>
      </c>
      <c r="E146" s="3" t="s">
        <v>29</v>
      </c>
      <c r="F146" s="3" t="s">
        <v>24</v>
      </c>
      <c r="G146" s="3" t="s">
        <v>37</v>
      </c>
      <c r="H146" s="3" t="s">
        <v>40</v>
      </c>
      <c r="I146" s="3" t="s">
        <v>18</v>
      </c>
      <c r="J146" s="3" t="s">
        <v>22</v>
      </c>
      <c r="K146" s="4">
        <v>45373</v>
      </c>
      <c r="L146" s="1">
        <v>22</v>
      </c>
      <c r="M146" s="3" t="s">
        <v>43</v>
      </c>
    </row>
    <row r="147" spans="1:13" x14ac:dyDescent="0.3">
      <c r="A147" s="3">
        <v>146</v>
      </c>
      <c r="B147" s="4">
        <v>44927</v>
      </c>
      <c r="C147" s="4" t="s">
        <v>49</v>
      </c>
      <c r="D147" s="5">
        <v>0.48333333333333334</v>
      </c>
      <c r="E147" s="3" t="s">
        <v>34</v>
      </c>
      <c r="F147" s="3" t="s">
        <v>24</v>
      </c>
      <c r="G147" s="3" t="s">
        <v>14</v>
      </c>
      <c r="H147" s="3" t="s">
        <v>40</v>
      </c>
      <c r="I147" s="3" t="s">
        <v>17</v>
      </c>
      <c r="J147" s="3" t="s">
        <v>21</v>
      </c>
      <c r="K147" s="4" t="s">
        <v>42</v>
      </c>
      <c r="L147" s="1" t="s">
        <v>42</v>
      </c>
      <c r="M147" s="3" t="s">
        <v>43</v>
      </c>
    </row>
    <row r="148" spans="1:13" x14ac:dyDescent="0.3">
      <c r="A148" s="3">
        <v>147</v>
      </c>
      <c r="B148" s="4">
        <v>45226</v>
      </c>
      <c r="C148" s="4" t="s">
        <v>56</v>
      </c>
      <c r="D148" s="5">
        <v>0.10763888888888888</v>
      </c>
      <c r="E148" s="3" t="s">
        <v>23</v>
      </c>
      <c r="F148" s="3" t="s">
        <v>24</v>
      </c>
      <c r="G148" s="3" t="s">
        <v>13</v>
      </c>
      <c r="H148" s="3" t="s">
        <v>16</v>
      </c>
      <c r="I148" s="3" t="s">
        <v>18</v>
      </c>
      <c r="J148" s="3" t="s">
        <v>20</v>
      </c>
      <c r="K148" s="4" t="s">
        <v>42</v>
      </c>
      <c r="L148" s="1" t="s">
        <v>42</v>
      </c>
      <c r="M148" s="3" t="s">
        <v>25</v>
      </c>
    </row>
    <row r="149" spans="1:13" x14ac:dyDescent="0.3">
      <c r="A149" s="3">
        <v>148</v>
      </c>
      <c r="B149" s="4">
        <v>45164</v>
      </c>
      <c r="C149" s="4" t="s">
        <v>69</v>
      </c>
      <c r="D149" s="5">
        <v>0.19444444444444442</v>
      </c>
      <c r="E149" s="3" t="s">
        <v>33</v>
      </c>
      <c r="F149" s="3" t="s">
        <v>24</v>
      </c>
      <c r="G149" s="3" t="s">
        <v>14</v>
      </c>
      <c r="H149" s="3" t="s">
        <v>15</v>
      </c>
      <c r="I149" s="3" t="s">
        <v>19</v>
      </c>
      <c r="J149" s="3" t="s">
        <v>22</v>
      </c>
      <c r="K149" s="4">
        <v>45165</v>
      </c>
      <c r="L149" s="1">
        <v>10</v>
      </c>
      <c r="M149" s="3" t="s">
        <v>43</v>
      </c>
    </row>
    <row r="150" spans="1:13" x14ac:dyDescent="0.3">
      <c r="A150" s="3">
        <v>149</v>
      </c>
      <c r="B150" s="4">
        <v>45333</v>
      </c>
      <c r="C150" s="4" t="s">
        <v>63</v>
      </c>
      <c r="D150" s="5">
        <v>0.35486111111111107</v>
      </c>
      <c r="E150" s="3" t="s">
        <v>28</v>
      </c>
      <c r="F150" s="3" t="s">
        <v>24</v>
      </c>
      <c r="G150" s="3" t="s">
        <v>14</v>
      </c>
      <c r="H150" s="3" t="s">
        <v>41</v>
      </c>
      <c r="I150" s="3" t="s">
        <v>18</v>
      </c>
      <c r="J150" s="3" t="s">
        <v>22</v>
      </c>
      <c r="K150" s="4">
        <v>45334</v>
      </c>
      <c r="L150" s="1">
        <v>7</v>
      </c>
      <c r="M150" s="3" t="s">
        <v>43</v>
      </c>
    </row>
    <row r="151" spans="1:13" x14ac:dyDescent="0.3">
      <c r="A151" s="3">
        <v>150</v>
      </c>
      <c r="B151" s="4">
        <v>45054</v>
      </c>
      <c r="C151" s="4" t="s">
        <v>54</v>
      </c>
      <c r="D151" s="5">
        <v>0.7583333333333333</v>
      </c>
      <c r="E151" s="3" t="s">
        <v>23</v>
      </c>
      <c r="F151" s="3" t="s">
        <v>24</v>
      </c>
      <c r="G151" s="3" t="s">
        <v>38</v>
      </c>
      <c r="H151" s="3" t="s">
        <v>15</v>
      </c>
      <c r="I151" s="3" t="s">
        <v>17</v>
      </c>
      <c r="J151" s="3" t="s">
        <v>21</v>
      </c>
      <c r="K151" s="4" t="s">
        <v>42</v>
      </c>
      <c r="L151" s="1" t="s">
        <v>42</v>
      </c>
      <c r="M151" s="3" t="s">
        <v>43</v>
      </c>
    </row>
    <row r="152" spans="1:13" x14ac:dyDescent="0.3">
      <c r="A152" s="3">
        <v>151</v>
      </c>
      <c r="B152" s="4">
        <v>45458</v>
      </c>
      <c r="C152" s="4" t="s">
        <v>58</v>
      </c>
      <c r="D152" s="5">
        <v>0.4826388888888889</v>
      </c>
      <c r="E152" s="3" t="s">
        <v>26</v>
      </c>
      <c r="F152" s="3" t="s">
        <v>24</v>
      </c>
      <c r="G152" s="3" t="s">
        <v>12</v>
      </c>
      <c r="H152" s="3" t="s">
        <v>16</v>
      </c>
      <c r="I152" s="3" t="s">
        <v>18</v>
      </c>
      <c r="J152" s="3" t="s">
        <v>22</v>
      </c>
      <c r="K152" s="4">
        <v>45458</v>
      </c>
      <c r="L152" s="1">
        <v>15</v>
      </c>
      <c r="M152" s="3" t="s">
        <v>25</v>
      </c>
    </row>
    <row r="153" spans="1:13" x14ac:dyDescent="0.3">
      <c r="A153" s="3">
        <v>152</v>
      </c>
      <c r="B153" s="4">
        <v>45444</v>
      </c>
      <c r="C153" s="4" t="s">
        <v>58</v>
      </c>
      <c r="D153" s="5">
        <v>0.1736111111111111</v>
      </c>
      <c r="E153" s="3" t="s">
        <v>23</v>
      </c>
      <c r="F153" s="3" t="s">
        <v>24</v>
      </c>
      <c r="G153" s="3" t="s">
        <v>14</v>
      </c>
      <c r="H153" s="3" t="s">
        <v>15</v>
      </c>
      <c r="I153" s="3" t="s">
        <v>17</v>
      </c>
      <c r="J153" s="3" t="s">
        <v>21</v>
      </c>
      <c r="K153" s="4" t="s">
        <v>42</v>
      </c>
      <c r="L153" s="1" t="s">
        <v>42</v>
      </c>
      <c r="M153" s="3" t="s">
        <v>43</v>
      </c>
    </row>
    <row r="154" spans="1:13" x14ac:dyDescent="0.3">
      <c r="A154" s="3">
        <v>153</v>
      </c>
      <c r="B154" s="4">
        <v>45274</v>
      </c>
      <c r="C154" s="4" t="s">
        <v>60</v>
      </c>
      <c r="D154" s="5">
        <v>0.70347222222222217</v>
      </c>
      <c r="E154" s="3" t="s">
        <v>34</v>
      </c>
      <c r="F154" s="3" t="s">
        <v>24</v>
      </c>
      <c r="G154" s="3" t="s">
        <v>14</v>
      </c>
      <c r="H154" s="3" t="s">
        <v>16</v>
      </c>
      <c r="I154" s="3" t="s">
        <v>18</v>
      </c>
      <c r="J154" s="3" t="s">
        <v>22</v>
      </c>
      <c r="K154" s="4">
        <v>45276</v>
      </c>
      <c r="L154" s="1">
        <v>15</v>
      </c>
      <c r="M154" s="3" t="s">
        <v>43</v>
      </c>
    </row>
    <row r="155" spans="1:13" x14ac:dyDescent="0.3">
      <c r="A155" s="3">
        <v>154</v>
      </c>
      <c r="B155" s="4">
        <v>45180</v>
      </c>
      <c r="C155" s="4" t="s">
        <v>51</v>
      </c>
      <c r="D155" s="5">
        <v>0.21111111111111111</v>
      </c>
      <c r="E155" s="3" t="s">
        <v>35</v>
      </c>
      <c r="F155" s="3" t="s">
        <v>24</v>
      </c>
      <c r="G155" s="3" t="s">
        <v>12</v>
      </c>
      <c r="H155" s="3" t="s">
        <v>40</v>
      </c>
      <c r="I155" s="3" t="s">
        <v>18</v>
      </c>
      <c r="J155" s="3" t="s">
        <v>22</v>
      </c>
      <c r="K155" s="4">
        <v>45181</v>
      </c>
      <c r="L155" s="1">
        <v>11</v>
      </c>
      <c r="M155" s="3" t="s">
        <v>25</v>
      </c>
    </row>
    <row r="156" spans="1:13" x14ac:dyDescent="0.3">
      <c r="A156" s="3">
        <v>155</v>
      </c>
      <c r="B156" s="4">
        <v>45448</v>
      </c>
      <c r="C156" s="4" t="s">
        <v>58</v>
      </c>
      <c r="D156" s="5">
        <v>0.78541666666666665</v>
      </c>
      <c r="E156" s="3" t="s">
        <v>33</v>
      </c>
      <c r="F156" s="3" t="s">
        <v>24</v>
      </c>
      <c r="G156" s="3" t="s">
        <v>14</v>
      </c>
      <c r="H156" s="3" t="s">
        <v>15</v>
      </c>
      <c r="I156" s="3" t="s">
        <v>18</v>
      </c>
      <c r="J156" s="3" t="s">
        <v>22</v>
      </c>
      <c r="K156" s="4">
        <v>45450</v>
      </c>
      <c r="L156" s="1">
        <v>1</v>
      </c>
      <c r="M156" s="3" t="s">
        <v>43</v>
      </c>
    </row>
    <row r="157" spans="1:13" x14ac:dyDescent="0.3">
      <c r="A157" s="3">
        <v>156</v>
      </c>
      <c r="B157" s="4">
        <v>45123</v>
      </c>
      <c r="C157" s="4" t="s">
        <v>53</v>
      </c>
      <c r="D157" s="5">
        <v>2.2916666666666665E-2</v>
      </c>
      <c r="E157" s="3" t="s">
        <v>32</v>
      </c>
      <c r="F157" s="3" t="s">
        <v>24</v>
      </c>
      <c r="G157" s="3" t="s">
        <v>13</v>
      </c>
      <c r="H157" s="3" t="s">
        <v>40</v>
      </c>
      <c r="I157" s="3" t="s">
        <v>19</v>
      </c>
      <c r="J157" s="3" t="s">
        <v>20</v>
      </c>
      <c r="K157" s="4" t="s">
        <v>42</v>
      </c>
      <c r="L157" s="1" t="s">
        <v>42</v>
      </c>
      <c r="M157" s="3" t="s">
        <v>25</v>
      </c>
    </row>
    <row r="158" spans="1:13" x14ac:dyDescent="0.3">
      <c r="A158" s="3">
        <v>157</v>
      </c>
      <c r="B158" s="4">
        <v>45164</v>
      </c>
      <c r="C158" s="4" t="s">
        <v>69</v>
      </c>
      <c r="D158" s="5">
        <v>0.54027777777777775</v>
      </c>
      <c r="E158" s="3" t="s">
        <v>30</v>
      </c>
      <c r="F158" s="3" t="s">
        <v>24</v>
      </c>
      <c r="G158" s="3" t="s">
        <v>38</v>
      </c>
      <c r="H158" s="3" t="s">
        <v>16</v>
      </c>
      <c r="I158" s="3" t="s">
        <v>17</v>
      </c>
      <c r="J158" s="3" t="s">
        <v>21</v>
      </c>
      <c r="K158" s="4" t="s">
        <v>42</v>
      </c>
      <c r="L158" s="1" t="s">
        <v>42</v>
      </c>
      <c r="M158" s="3" t="s">
        <v>43</v>
      </c>
    </row>
    <row r="159" spans="1:13" x14ac:dyDescent="0.3">
      <c r="A159" s="3">
        <v>158</v>
      </c>
      <c r="B159" s="4">
        <v>45029</v>
      </c>
      <c r="C159" s="4" t="s">
        <v>55</v>
      </c>
      <c r="D159" s="5">
        <v>0.41597222222222224</v>
      </c>
      <c r="E159" s="3" t="s">
        <v>35</v>
      </c>
      <c r="F159" s="3" t="s">
        <v>24</v>
      </c>
      <c r="G159" s="3" t="s">
        <v>39</v>
      </c>
      <c r="H159" s="3" t="s">
        <v>40</v>
      </c>
      <c r="I159" s="3" t="s">
        <v>18</v>
      </c>
      <c r="J159" s="3" t="s">
        <v>22</v>
      </c>
      <c r="K159" s="4">
        <v>45031</v>
      </c>
      <c r="L159" s="1">
        <v>18</v>
      </c>
      <c r="M159" s="3" t="s">
        <v>43</v>
      </c>
    </row>
    <row r="160" spans="1:13" x14ac:dyDescent="0.3">
      <c r="A160" s="3">
        <v>159</v>
      </c>
      <c r="B160" s="4">
        <v>45104</v>
      </c>
      <c r="C160" s="4" t="s">
        <v>50</v>
      </c>
      <c r="D160" s="5">
        <v>0.20833333333333334</v>
      </c>
      <c r="E160" s="3" t="s">
        <v>36</v>
      </c>
      <c r="F160" s="3" t="s">
        <v>24</v>
      </c>
      <c r="G160" s="3" t="s">
        <v>13</v>
      </c>
      <c r="H160" s="3" t="s">
        <v>40</v>
      </c>
      <c r="I160" s="3" t="s">
        <v>18</v>
      </c>
      <c r="J160" s="3" t="s">
        <v>20</v>
      </c>
      <c r="K160" s="4" t="s">
        <v>42</v>
      </c>
      <c r="L160" s="1" t="s">
        <v>42</v>
      </c>
      <c r="M160" s="3" t="s">
        <v>25</v>
      </c>
    </row>
    <row r="161" spans="1:13" x14ac:dyDescent="0.3">
      <c r="A161" s="3">
        <v>160</v>
      </c>
      <c r="B161" s="4">
        <v>45227</v>
      </c>
      <c r="C161" s="4" t="s">
        <v>56</v>
      </c>
      <c r="D161" s="5">
        <v>0.28819444444444442</v>
      </c>
      <c r="E161" s="3" t="s">
        <v>30</v>
      </c>
      <c r="F161" s="3" t="s">
        <v>24</v>
      </c>
      <c r="G161" s="3" t="s">
        <v>37</v>
      </c>
      <c r="H161" s="3" t="s">
        <v>41</v>
      </c>
      <c r="I161" s="3" t="s">
        <v>17</v>
      </c>
      <c r="J161" s="3" t="s">
        <v>22</v>
      </c>
      <c r="K161" s="4">
        <v>45228</v>
      </c>
      <c r="L161" s="1">
        <v>14</v>
      </c>
      <c r="M161" s="3" t="s">
        <v>43</v>
      </c>
    </row>
    <row r="162" spans="1:13" x14ac:dyDescent="0.3">
      <c r="A162" s="3">
        <v>161</v>
      </c>
      <c r="B162" s="4">
        <v>44967</v>
      </c>
      <c r="C162" s="4" t="s">
        <v>61</v>
      </c>
      <c r="D162" s="5">
        <v>0.18333333333333332</v>
      </c>
      <c r="E162" s="3" t="s">
        <v>34</v>
      </c>
      <c r="F162" s="3" t="s">
        <v>24</v>
      </c>
      <c r="G162" s="3" t="s">
        <v>14</v>
      </c>
      <c r="H162" s="3" t="s">
        <v>15</v>
      </c>
      <c r="I162" s="3" t="s">
        <v>17</v>
      </c>
      <c r="J162" s="3" t="s">
        <v>22</v>
      </c>
      <c r="K162" s="4">
        <v>44967</v>
      </c>
      <c r="L162" s="1">
        <v>4</v>
      </c>
      <c r="M162" s="3" t="s">
        <v>43</v>
      </c>
    </row>
    <row r="163" spans="1:13" x14ac:dyDescent="0.3">
      <c r="A163" s="3">
        <v>162</v>
      </c>
      <c r="B163" s="4">
        <v>44951</v>
      </c>
      <c r="C163" s="4" t="s">
        <v>49</v>
      </c>
      <c r="D163" s="5">
        <v>0.63680555555555551</v>
      </c>
      <c r="E163" s="3" t="s">
        <v>28</v>
      </c>
      <c r="F163" s="3" t="s">
        <v>24</v>
      </c>
      <c r="G163" s="3" t="s">
        <v>38</v>
      </c>
      <c r="H163" s="3" t="s">
        <v>16</v>
      </c>
      <c r="I163" s="3" t="s">
        <v>19</v>
      </c>
      <c r="J163" s="3" t="s">
        <v>22</v>
      </c>
      <c r="K163" s="4">
        <v>44951</v>
      </c>
      <c r="L163" s="1">
        <v>9</v>
      </c>
      <c r="M163" s="3" t="s">
        <v>43</v>
      </c>
    </row>
    <row r="164" spans="1:13" x14ac:dyDescent="0.3">
      <c r="A164" s="3">
        <v>163</v>
      </c>
      <c r="B164" s="4">
        <v>45592</v>
      </c>
      <c r="C164" s="4" t="s">
        <v>67</v>
      </c>
      <c r="D164" s="5">
        <v>0.40347222222222223</v>
      </c>
      <c r="E164" s="3" t="s">
        <v>23</v>
      </c>
      <c r="F164" s="3" t="s">
        <v>24</v>
      </c>
      <c r="G164" s="3" t="s">
        <v>38</v>
      </c>
      <c r="H164" s="3" t="s">
        <v>41</v>
      </c>
      <c r="I164" s="3" t="s">
        <v>18</v>
      </c>
      <c r="J164" s="3" t="s">
        <v>22</v>
      </c>
      <c r="K164" s="4">
        <v>45592</v>
      </c>
      <c r="L164" s="1">
        <v>15</v>
      </c>
      <c r="M164" s="3" t="s">
        <v>43</v>
      </c>
    </row>
    <row r="165" spans="1:13" x14ac:dyDescent="0.3">
      <c r="A165" s="3">
        <v>164</v>
      </c>
      <c r="B165" s="4">
        <v>45254</v>
      </c>
      <c r="C165" s="4" t="s">
        <v>46</v>
      </c>
      <c r="D165" s="5">
        <v>0.29375000000000001</v>
      </c>
      <c r="E165" s="3" t="s">
        <v>27</v>
      </c>
      <c r="F165" s="3" t="s">
        <v>24</v>
      </c>
      <c r="G165" s="3" t="s">
        <v>12</v>
      </c>
      <c r="H165" s="3" t="s">
        <v>15</v>
      </c>
      <c r="I165" s="3" t="s">
        <v>19</v>
      </c>
      <c r="J165" s="3" t="s">
        <v>22</v>
      </c>
      <c r="K165" s="4">
        <v>45255</v>
      </c>
      <c r="L165" s="1">
        <v>11</v>
      </c>
      <c r="M165" s="3" t="s">
        <v>25</v>
      </c>
    </row>
    <row r="166" spans="1:13" x14ac:dyDescent="0.3">
      <c r="A166" s="3">
        <v>165</v>
      </c>
      <c r="B166" s="4">
        <v>44940</v>
      </c>
      <c r="C166" s="4" t="s">
        <v>49</v>
      </c>
      <c r="D166" s="5">
        <v>0.56874999999999998</v>
      </c>
      <c r="E166" s="3" t="s">
        <v>32</v>
      </c>
      <c r="F166" s="3" t="s">
        <v>24</v>
      </c>
      <c r="G166" s="3" t="s">
        <v>14</v>
      </c>
      <c r="H166" s="3" t="s">
        <v>40</v>
      </c>
      <c r="I166" s="3" t="s">
        <v>19</v>
      </c>
      <c r="J166" s="3" t="s">
        <v>22</v>
      </c>
      <c r="K166" s="4">
        <v>44942</v>
      </c>
      <c r="L166" s="1">
        <v>19</v>
      </c>
      <c r="M166" s="3" t="s">
        <v>43</v>
      </c>
    </row>
    <row r="167" spans="1:13" x14ac:dyDescent="0.3">
      <c r="A167" s="3">
        <v>166</v>
      </c>
      <c r="B167" s="4">
        <v>45069</v>
      </c>
      <c r="C167" s="4" t="s">
        <v>54</v>
      </c>
      <c r="D167" s="5">
        <v>5.7638888888888885E-2</v>
      </c>
      <c r="E167" s="3" t="s">
        <v>26</v>
      </c>
      <c r="F167" s="3" t="s">
        <v>24</v>
      </c>
      <c r="G167" s="3" t="s">
        <v>14</v>
      </c>
      <c r="H167" s="3" t="s">
        <v>41</v>
      </c>
      <c r="I167" s="3" t="s">
        <v>18</v>
      </c>
      <c r="J167" s="3" t="s">
        <v>22</v>
      </c>
      <c r="K167" s="4">
        <v>45071</v>
      </c>
      <c r="L167" s="1">
        <v>21</v>
      </c>
      <c r="M167" s="3" t="s">
        <v>43</v>
      </c>
    </row>
    <row r="168" spans="1:13" x14ac:dyDescent="0.3">
      <c r="A168" s="3">
        <v>167</v>
      </c>
      <c r="B168" s="4">
        <v>44949</v>
      </c>
      <c r="C168" s="4" t="s">
        <v>49</v>
      </c>
      <c r="D168" s="5">
        <v>0.4145833333333333</v>
      </c>
      <c r="E168" s="3" t="s">
        <v>23</v>
      </c>
      <c r="F168" s="3" t="s">
        <v>24</v>
      </c>
      <c r="G168" s="3" t="s">
        <v>14</v>
      </c>
      <c r="H168" s="3" t="s">
        <v>40</v>
      </c>
      <c r="I168" s="3" t="s">
        <v>18</v>
      </c>
      <c r="J168" s="3" t="s">
        <v>20</v>
      </c>
      <c r="K168" s="4" t="s">
        <v>42</v>
      </c>
      <c r="L168" s="1" t="s">
        <v>42</v>
      </c>
      <c r="M168" s="3" t="s">
        <v>43</v>
      </c>
    </row>
    <row r="169" spans="1:13" x14ac:dyDescent="0.3">
      <c r="A169" s="3">
        <v>168</v>
      </c>
      <c r="B169" s="4">
        <v>44998</v>
      </c>
      <c r="C169" s="4" t="s">
        <v>48</v>
      </c>
      <c r="D169" s="5">
        <v>0.86388888888888893</v>
      </c>
      <c r="E169" s="3" t="s">
        <v>32</v>
      </c>
      <c r="F169" s="3" t="s">
        <v>24</v>
      </c>
      <c r="G169" s="3" t="s">
        <v>37</v>
      </c>
      <c r="H169" s="3" t="s">
        <v>41</v>
      </c>
      <c r="I169" s="3" t="s">
        <v>19</v>
      </c>
      <c r="J169" s="3" t="s">
        <v>20</v>
      </c>
      <c r="K169" s="4" t="s">
        <v>42</v>
      </c>
      <c r="L169" s="1" t="s">
        <v>42</v>
      </c>
      <c r="M169" s="3" t="s">
        <v>43</v>
      </c>
    </row>
    <row r="170" spans="1:13" x14ac:dyDescent="0.3">
      <c r="A170" s="3">
        <v>169</v>
      </c>
      <c r="B170" s="4">
        <v>45202</v>
      </c>
      <c r="C170" s="4" t="s">
        <v>56</v>
      </c>
      <c r="D170" s="5">
        <v>0.31319444444444444</v>
      </c>
      <c r="E170" s="3" t="s">
        <v>36</v>
      </c>
      <c r="F170" s="3" t="s">
        <v>24</v>
      </c>
      <c r="G170" s="3" t="s">
        <v>13</v>
      </c>
      <c r="H170" s="3" t="s">
        <v>16</v>
      </c>
      <c r="I170" s="3" t="s">
        <v>18</v>
      </c>
      <c r="J170" s="3" t="s">
        <v>22</v>
      </c>
      <c r="K170" s="4">
        <v>45203</v>
      </c>
      <c r="L170" s="1">
        <v>6</v>
      </c>
      <c r="M170" s="3" t="s">
        <v>25</v>
      </c>
    </row>
    <row r="171" spans="1:13" x14ac:dyDescent="0.3">
      <c r="A171" s="3">
        <v>170</v>
      </c>
      <c r="B171" s="4">
        <v>45023</v>
      </c>
      <c r="C171" s="4" t="s">
        <v>55</v>
      </c>
      <c r="D171" s="5">
        <v>0.47916666666666663</v>
      </c>
      <c r="E171" s="3" t="s">
        <v>35</v>
      </c>
      <c r="F171" s="3" t="s">
        <v>24</v>
      </c>
      <c r="G171" s="3" t="s">
        <v>39</v>
      </c>
      <c r="H171" s="3" t="s">
        <v>15</v>
      </c>
      <c r="I171" s="3" t="s">
        <v>18</v>
      </c>
      <c r="J171" s="3" t="s">
        <v>22</v>
      </c>
      <c r="K171" s="4">
        <v>45025</v>
      </c>
      <c r="L171" s="1">
        <v>3</v>
      </c>
      <c r="M171" s="3" t="s">
        <v>43</v>
      </c>
    </row>
    <row r="172" spans="1:13" x14ac:dyDescent="0.3">
      <c r="A172" s="3">
        <v>171</v>
      </c>
      <c r="B172" s="4">
        <v>45517</v>
      </c>
      <c r="C172" s="4" t="s">
        <v>64</v>
      </c>
      <c r="D172" s="5">
        <v>0.84444444444444444</v>
      </c>
      <c r="E172" s="3" t="s">
        <v>33</v>
      </c>
      <c r="F172" s="3" t="s">
        <v>24</v>
      </c>
      <c r="G172" s="3" t="s">
        <v>13</v>
      </c>
      <c r="H172" s="3" t="s">
        <v>15</v>
      </c>
      <c r="I172" s="3" t="s">
        <v>19</v>
      </c>
      <c r="J172" s="3" t="s">
        <v>22</v>
      </c>
      <c r="K172" s="4">
        <v>45519</v>
      </c>
      <c r="L172" s="1">
        <v>24</v>
      </c>
      <c r="M172" s="3" t="s">
        <v>25</v>
      </c>
    </row>
    <row r="173" spans="1:13" x14ac:dyDescent="0.3">
      <c r="A173" s="3">
        <v>172</v>
      </c>
      <c r="B173" s="4">
        <v>45251</v>
      </c>
      <c r="C173" s="4" t="s">
        <v>46</v>
      </c>
      <c r="D173" s="5">
        <v>0.11180555555555555</v>
      </c>
      <c r="E173" s="3" t="s">
        <v>31</v>
      </c>
      <c r="F173" s="3" t="s">
        <v>24</v>
      </c>
      <c r="G173" s="3" t="s">
        <v>13</v>
      </c>
      <c r="H173" s="3" t="s">
        <v>15</v>
      </c>
      <c r="I173" s="3" t="s">
        <v>19</v>
      </c>
      <c r="J173" s="3" t="s">
        <v>22</v>
      </c>
      <c r="K173" s="4">
        <v>45253</v>
      </c>
      <c r="L173" s="1">
        <v>15</v>
      </c>
      <c r="M173" s="3" t="s">
        <v>25</v>
      </c>
    </row>
    <row r="174" spans="1:13" x14ac:dyDescent="0.3">
      <c r="A174" s="3">
        <v>173</v>
      </c>
      <c r="B174" s="4">
        <v>45033</v>
      </c>
      <c r="C174" s="4" t="s">
        <v>55</v>
      </c>
      <c r="D174" s="5">
        <v>0.21388888888888891</v>
      </c>
      <c r="E174" s="3" t="s">
        <v>36</v>
      </c>
      <c r="F174" s="3" t="s">
        <v>24</v>
      </c>
      <c r="G174" s="3" t="s">
        <v>13</v>
      </c>
      <c r="H174" s="3" t="s">
        <v>15</v>
      </c>
      <c r="I174" s="3" t="s">
        <v>19</v>
      </c>
      <c r="J174" s="3" t="s">
        <v>21</v>
      </c>
      <c r="K174" s="4" t="s">
        <v>42</v>
      </c>
      <c r="L174" s="1" t="s">
        <v>42</v>
      </c>
      <c r="M174" s="3" t="s">
        <v>25</v>
      </c>
    </row>
    <row r="175" spans="1:13" x14ac:dyDescent="0.3">
      <c r="A175" s="3">
        <v>174</v>
      </c>
      <c r="B175" s="4">
        <v>45025</v>
      </c>
      <c r="C175" s="4" t="s">
        <v>55</v>
      </c>
      <c r="D175" s="5">
        <v>0.54791666666666661</v>
      </c>
      <c r="E175" s="3" t="s">
        <v>33</v>
      </c>
      <c r="F175" s="3" t="s">
        <v>24</v>
      </c>
      <c r="G175" s="3" t="s">
        <v>38</v>
      </c>
      <c r="H175" s="3" t="s">
        <v>41</v>
      </c>
      <c r="I175" s="3" t="s">
        <v>18</v>
      </c>
      <c r="J175" s="3" t="s">
        <v>22</v>
      </c>
      <c r="K175" s="4">
        <v>45025</v>
      </c>
      <c r="L175" s="1">
        <v>14</v>
      </c>
      <c r="M175" s="3" t="s">
        <v>43</v>
      </c>
    </row>
    <row r="176" spans="1:13" x14ac:dyDescent="0.3">
      <c r="A176" s="3">
        <v>175</v>
      </c>
      <c r="B176" s="4">
        <v>45088</v>
      </c>
      <c r="C176" s="4" t="s">
        <v>50</v>
      </c>
      <c r="D176" s="5">
        <v>0.1388888888888889</v>
      </c>
      <c r="E176" s="3" t="s">
        <v>26</v>
      </c>
      <c r="F176" s="3" t="s">
        <v>24</v>
      </c>
      <c r="G176" s="3" t="s">
        <v>39</v>
      </c>
      <c r="H176" s="3" t="s">
        <v>15</v>
      </c>
      <c r="I176" s="3" t="s">
        <v>18</v>
      </c>
      <c r="J176" s="3" t="s">
        <v>21</v>
      </c>
      <c r="K176" s="4" t="s">
        <v>42</v>
      </c>
      <c r="L176" s="1" t="s">
        <v>42</v>
      </c>
      <c r="M176" s="3" t="s">
        <v>43</v>
      </c>
    </row>
    <row r="177" spans="1:13" x14ac:dyDescent="0.3">
      <c r="A177" s="3">
        <v>176</v>
      </c>
      <c r="B177" s="4">
        <v>45594</v>
      </c>
      <c r="C177" s="4" t="s">
        <v>67</v>
      </c>
      <c r="D177" s="5">
        <v>0.36041666666666666</v>
      </c>
      <c r="E177" s="3" t="s">
        <v>31</v>
      </c>
      <c r="F177" s="3" t="s">
        <v>24</v>
      </c>
      <c r="G177" s="3" t="s">
        <v>38</v>
      </c>
      <c r="H177" s="3" t="s">
        <v>41</v>
      </c>
      <c r="I177" s="3" t="s">
        <v>18</v>
      </c>
      <c r="J177" s="3" t="s">
        <v>22</v>
      </c>
      <c r="K177" s="4">
        <v>45594</v>
      </c>
      <c r="L177" s="1">
        <v>21</v>
      </c>
      <c r="M177" s="3" t="s">
        <v>43</v>
      </c>
    </row>
    <row r="178" spans="1:13" x14ac:dyDescent="0.3">
      <c r="A178" s="3">
        <v>177</v>
      </c>
      <c r="B178" s="4">
        <v>45040</v>
      </c>
      <c r="C178" s="4" t="s">
        <v>55</v>
      </c>
      <c r="D178" s="5">
        <v>0.56597222222222221</v>
      </c>
      <c r="E178" s="3" t="s">
        <v>32</v>
      </c>
      <c r="F178" s="3" t="s">
        <v>24</v>
      </c>
      <c r="G178" s="3" t="s">
        <v>39</v>
      </c>
      <c r="H178" s="3" t="s">
        <v>15</v>
      </c>
      <c r="I178" s="3" t="s">
        <v>19</v>
      </c>
      <c r="J178" s="3" t="s">
        <v>22</v>
      </c>
      <c r="K178" s="4">
        <v>45041</v>
      </c>
      <c r="L178" s="1">
        <v>18</v>
      </c>
      <c r="M178" s="3" t="s">
        <v>43</v>
      </c>
    </row>
    <row r="179" spans="1:13" x14ac:dyDescent="0.3">
      <c r="A179" s="3">
        <v>178</v>
      </c>
      <c r="B179" s="4">
        <v>45103</v>
      </c>
      <c r="C179" s="4" t="s">
        <v>50</v>
      </c>
      <c r="D179" s="5">
        <v>5.5555555555555552E-2</v>
      </c>
      <c r="E179" s="3" t="s">
        <v>34</v>
      </c>
      <c r="F179" s="3" t="s">
        <v>24</v>
      </c>
      <c r="G179" s="3" t="s">
        <v>14</v>
      </c>
      <c r="H179" s="3" t="s">
        <v>16</v>
      </c>
      <c r="I179" s="3" t="s">
        <v>19</v>
      </c>
      <c r="J179" s="3" t="s">
        <v>20</v>
      </c>
      <c r="K179" s="4" t="s">
        <v>42</v>
      </c>
      <c r="L179" s="1" t="s">
        <v>42</v>
      </c>
      <c r="M179" s="3" t="s">
        <v>43</v>
      </c>
    </row>
    <row r="180" spans="1:13" x14ac:dyDescent="0.3">
      <c r="A180" s="3">
        <v>179</v>
      </c>
      <c r="B180" s="4">
        <v>45579</v>
      </c>
      <c r="C180" s="4" t="s">
        <v>67</v>
      </c>
      <c r="D180" s="5">
        <v>0.40902777777777777</v>
      </c>
      <c r="E180" s="3" t="s">
        <v>32</v>
      </c>
      <c r="F180" s="3" t="s">
        <v>24</v>
      </c>
      <c r="G180" s="3" t="s">
        <v>38</v>
      </c>
      <c r="H180" s="3" t="s">
        <v>40</v>
      </c>
      <c r="I180" s="3" t="s">
        <v>17</v>
      </c>
      <c r="J180" s="3" t="s">
        <v>20</v>
      </c>
      <c r="K180" s="4" t="s">
        <v>42</v>
      </c>
      <c r="L180" s="1" t="s">
        <v>42</v>
      </c>
      <c r="M180" s="3" t="s">
        <v>43</v>
      </c>
    </row>
    <row r="181" spans="1:13" x14ac:dyDescent="0.3">
      <c r="A181" s="3">
        <v>180</v>
      </c>
      <c r="B181" s="4">
        <v>45059</v>
      </c>
      <c r="C181" s="4" t="s">
        <v>54</v>
      </c>
      <c r="D181" s="5">
        <v>0.27500000000000002</v>
      </c>
      <c r="E181" s="3" t="s">
        <v>31</v>
      </c>
      <c r="F181" s="3" t="s">
        <v>24</v>
      </c>
      <c r="G181" s="3" t="s">
        <v>14</v>
      </c>
      <c r="H181" s="3" t="s">
        <v>16</v>
      </c>
      <c r="I181" s="3" t="s">
        <v>18</v>
      </c>
      <c r="J181" s="3" t="s">
        <v>20</v>
      </c>
      <c r="K181" s="4" t="s">
        <v>42</v>
      </c>
      <c r="L181" s="1" t="s">
        <v>42</v>
      </c>
      <c r="M181" s="3" t="s">
        <v>43</v>
      </c>
    </row>
    <row r="182" spans="1:13" x14ac:dyDescent="0.3">
      <c r="A182" s="3">
        <v>181</v>
      </c>
      <c r="B182" s="4">
        <v>44973</v>
      </c>
      <c r="C182" s="4" t="s">
        <v>61</v>
      </c>
      <c r="D182" s="5">
        <v>0.46041666666666664</v>
      </c>
      <c r="E182" s="3" t="s">
        <v>30</v>
      </c>
      <c r="F182" s="3" t="s">
        <v>24</v>
      </c>
      <c r="G182" s="3" t="s">
        <v>13</v>
      </c>
      <c r="H182" s="3" t="s">
        <v>40</v>
      </c>
      <c r="I182" s="3" t="s">
        <v>19</v>
      </c>
      <c r="J182" s="3" t="s">
        <v>22</v>
      </c>
      <c r="K182" s="4">
        <v>44975</v>
      </c>
      <c r="L182" s="1">
        <v>19</v>
      </c>
      <c r="M182" s="3" t="s">
        <v>25</v>
      </c>
    </row>
    <row r="183" spans="1:13" x14ac:dyDescent="0.3">
      <c r="A183" s="3">
        <v>182</v>
      </c>
      <c r="B183" s="4">
        <v>45607</v>
      </c>
      <c r="C183" s="4" t="s">
        <v>68</v>
      </c>
      <c r="D183" s="5">
        <v>0.90902777777777777</v>
      </c>
      <c r="E183" s="3" t="s">
        <v>23</v>
      </c>
      <c r="F183" s="3" t="s">
        <v>24</v>
      </c>
      <c r="G183" s="3" t="s">
        <v>13</v>
      </c>
      <c r="H183" s="3" t="s">
        <v>15</v>
      </c>
      <c r="I183" s="3" t="s">
        <v>17</v>
      </c>
      <c r="J183" s="3" t="s">
        <v>22</v>
      </c>
      <c r="K183" s="4">
        <v>45609</v>
      </c>
      <c r="L183" s="1">
        <v>19</v>
      </c>
      <c r="M183" s="3" t="s">
        <v>25</v>
      </c>
    </row>
    <row r="184" spans="1:13" x14ac:dyDescent="0.3">
      <c r="A184" s="3">
        <v>183</v>
      </c>
      <c r="B184" s="4">
        <v>45274</v>
      </c>
      <c r="C184" s="4" t="s">
        <v>60</v>
      </c>
      <c r="D184" s="5">
        <v>0.79374999999999996</v>
      </c>
      <c r="E184" s="3" t="s">
        <v>34</v>
      </c>
      <c r="F184" s="3" t="s">
        <v>24</v>
      </c>
      <c r="G184" s="3" t="s">
        <v>39</v>
      </c>
      <c r="H184" s="3" t="s">
        <v>15</v>
      </c>
      <c r="I184" s="3" t="s">
        <v>18</v>
      </c>
      <c r="J184" s="3" t="s">
        <v>22</v>
      </c>
      <c r="K184" s="4">
        <v>45275</v>
      </c>
      <c r="L184" s="1">
        <v>1</v>
      </c>
      <c r="M184" s="3" t="s">
        <v>43</v>
      </c>
    </row>
    <row r="185" spans="1:13" x14ac:dyDescent="0.3">
      <c r="A185" s="3">
        <v>184</v>
      </c>
      <c r="B185" s="4">
        <v>45362</v>
      </c>
      <c r="C185" s="4" t="s">
        <v>62</v>
      </c>
      <c r="D185" s="5">
        <v>0.47499999999999998</v>
      </c>
      <c r="E185" s="3" t="s">
        <v>32</v>
      </c>
      <c r="F185" s="3" t="s">
        <v>24</v>
      </c>
      <c r="G185" s="3" t="s">
        <v>37</v>
      </c>
      <c r="H185" s="3" t="s">
        <v>16</v>
      </c>
      <c r="I185" s="3" t="s">
        <v>18</v>
      </c>
      <c r="J185" s="3" t="s">
        <v>22</v>
      </c>
      <c r="K185" s="4">
        <v>45363</v>
      </c>
      <c r="L185" s="1">
        <v>21</v>
      </c>
      <c r="M185" s="3" t="s">
        <v>43</v>
      </c>
    </row>
    <row r="186" spans="1:13" x14ac:dyDescent="0.3">
      <c r="A186" s="3">
        <v>185</v>
      </c>
      <c r="B186" s="4">
        <v>45312</v>
      </c>
      <c r="C186" s="4" t="s">
        <v>52</v>
      </c>
      <c r="D186" s="5">
        <v>0.86458333333333337</v>
      </c>
      <c r="E186" s="3" t="s">
        <v>29</v>
      </c>
      <c r="F186" s="3" t="s">
        <v>24</v>
      </c>
      <c r="G186" s="3" t="s">
        <v>39</v>
      </c>
      <c r="H186" s="3" t="s">
        <v>41</v>
      </c>
      <c r="I186" s="3" t="s">
        <v>17</v>
      </c>
      <c r="J186" s="3" t="s">
        <v>22</v>
      </c>
      <c r="K186" s="4">
        <v>45313</v>
      </c>
      <c r="L186" s="1">
        <v>3</v>
      </c>
      <c r="M186" s="3" t="s">
        <v>43</v>
      </c>
    </row>
    <row r="187" spans="1:13" x14ac:dyDescent="0.3">
      <c r="A187" s="3">
        <v>186</v>
      </c>
      <c r="B187" s="4">
        <v>45198</v>
      </c>
      <c r="C187" s="4" t="s">
        <v>51</v>
      </c>
      <c r="D187" s="5">
        <v>0.50347222222222221</v>
      </c>
      <c r="E187" s="3" t="s">
        <v>32</v>
      </c>
      <c r="F187" s="3" t="s">
        <v>24</v>
      </c>
      <c r="G187" s="3" t="s">
        <v>12</v>
      </c>
      <c r="H187" s="3" t="s">
        <v>15</v>
      </c>
      <c r="I187" s="3" t="s">
        <v>17</v>
      </c>
      <c r="J187" s="3" t="s">
        <v>21</v>
      </c>
      <c r="K187" s="4" t="s">
        <v>42</v>
      </c>
      <c r="L187" s="1" t="s">
        <v>42</v>
      </c>
      <c r="M187" s="3" t="s">
        <v>25</v>
      </c>
    </row>
    <row r="188" spans="1:13" x14ac:dyDescent="0.3">
      <c r="A188" s="3">
        <v>187</v>
      </c>
      <c r="B188" s="4">
        <v>45211</v>
      </c>
      <c r="C188" s="4" t="s">
        <v>56</v>
      </c>
      <c r="D188" s="5">
        <v>0.33819444444444441</v>
      </c>
      <c r="E188" s="3" t="s">
        <v>32</v>
      </c>
      <c r="F188" s="3" t="s">
        <v>24</v>
      </c>
      <c r="G188" s="3" t="s">
        <v>12</v>
      </c>
      <c r="H188" s="3" t="s">
        <v>41</v>
      </c>
      <c r="I188" s="3" t="s">
        <v>19</v>
      </c>
      <c r="J188" s="3" t="s">
        <v>22</v>
      </c>
      <c r="K188" s="4">
        <v>45211</v>
      </c>
      <c r="L188" s="1">
        <v>6</v>
      </c>
      <c r="M188" s="3" t="s">
        <v>25</v>
      </c>
    </row>
    <row r="189" spans="1:13" x14ac:dyDescent="0.3">
      <c r="A189" s="3">
        <v>188</v>
      </c>
      <c r="B189" s="4">
        <v>45552</v>
      </c>
      <c r="C189" s="4" t="s">
        <v>66</v>
      </c>
      <c r="D189" s="5">
        <v>0.79027777777777775</v>
      </c>
      <c r="E189" s="3" t="s">
        <v>27</v>
      </c>
      <c r="F189" s="3" t="s">
        <v>24</v>
      </c>
      <c r="G189" s="3" t="s">
        <v>13</v>
      </c>
      <c r="H189" s="3" t="s">
        <v>40</v>
      </c>
      <c r="I189" s="3" t="s">
        <v>19</v>
      </c>
      <c r="J189" s="3" t="s">
        <v>21</v>
      </c>
      <c r="K189" s="4" t="s">
        <v>42</v>
      </c>
      <c r="L189" s="1" t="s">
        <v>42</v>
      </c>
      <c r="M189" s="3" t="s">
        <v>25</v>
      </c>
    </row>
    <row r="190" spans="1:13" x14ac:dyDescent="0.3">
      <c r="A190" s="3">
        <v>189</v>
      </c>
      <c r="B190" s="4">
        <v>45194</v>
      </c>
      <c r="C190" s="4" t="s">
        <v>51</v>
      </c>
      <c r="D190" s="5">
        <v>0.40972222222222221</v>
      </c>
      <c r="E190" s="3" t="s">
        <v>23</v>
      </c>
      <c r="F190" s="3" t="s">
        <v>24</v>
      </c>
      <c r="G190" s="3" t="s">
        <v>39</v>
      </c>
      <c r="H190" s="3" t="s">
        <v>40</v>
      </c>
      <c r="I190" s="3" t="s">
        <v>18</v>
      </c>
      <c r="J190" s="3" t="s">
        <v>22</v>
      </c>
      <c r="K190" s="4">
        <v>45194</v>
      </c>
      <c r="L190" s="1">
        <v>5</v>
      </c>
      <c r="M190" s="3" t="s">
        <v>43</v>
      </c>
    </row>
    <row r="191" spans="1:13" x14ac:dyDescent="0.3">
      <c r="A191" s="3">
        <v>190</v>
      </c>
      <c r="B191" s="4">
        <v>45314</v>
      </c>
      <c r="C191" s="4" t="s">
        <v>52</v>
      </c>
      <c r="D191" s="5">
        <v>0.38541666666666669</v>
      </c>
      <c r="E191" s="3" t="s">
        <v>28</v>
      </c>
      <c r="F191" s="3" t="s">
        <v>24</v>
      </c>
      <c r="G191" s="3" t="s">
        <v>37</v>
      </c>
      <c r="H191" s="3" t="s">
        <v>15</v>
      </c>
      <c r="I191" s="3" t="s">
        <v>18</v>
      </c>
      <c r="J191" s="3" t="s">
        <v>21</v>
      </c>
      <c r="K191" s="4" t="s">
        <v>42</v>
      </c>
      <c r="L191" s="1" t="s">
        <v>42</v>
      </c>
      <c r="M191" s="3" t="s">
        <v>43</v>
      </c>
    </row>
    <row r="192" spans="1:13" x14ac:dyDescent="0.3">
      <c r="A192" s="3">
        <v>191</v>
      </c>
      <c r="B192" s="4">
        <v>45484</v>
      </c>
      <c r="C192" s="4" t="s">
        <v>65</v>
      </c>
      <c r="D192" s="5">
        <v>0.87569444444444444</v>
      </c>
      <c r="E192" s="3" t="s">
        <v>32</v>
      </c>
      <c r="F192" s="3" t="s">
        <v>24</v>
      </c>
      <c r="G192" s="3" t="s">
        <v>12</v>
      </c>
      <c r="H192" s="3" t="s">
        <v>41</v>
      </c>
      <c r="I192" s="3" t="s">
        <v>17</v>
      </c>
      <c r="J192" s="3" t="s">
        <v>22</v>
      </c>
      <c r="K192" s="4">
        <v>45486</v>
      </c>
      <c r="L192" s="1">
        <v>3</v>
      </c>
      <c r="M192" s="3" t="s">
        <v>25</v>
      </c>
    </row>
    <row r="193" spans="1:13" x14ac:dyDescent="0.3">
      <c r="A193" s="3">
        <v>192</v>
      </c>
      <c r="B193" s="4">
        <v>45538</v>
      </c>
      <c r="C193" s="4" t="s">
        <v>66</v>
      </c>
      <c r="D193" s="5">
        <v>0.43819444444444444</v>
      </c>
      <c r="E193" s="3" t="s">
        <v>30</v>
      </c>
      <c r="F193" s="3" t="s">
        <v>24</v>
      </c>
      <c r="G193" s="3" t="s">
        <v>38</v>
      </c>
      <c r="H193" s="3" t="s">
        <v>40</v>
      </c>
      <c r="I193" s="3" t="s">
        <v>19</v>
      </c>
      <c r="J193" s="3" t="s">
        <v>22</v>
      </c>
      <c r="K193" s="4">
        <v>45539</v>
      </c>
      <c r="L193" s="1">
        <v>3</v>
      </c>
      <c r="M193" s="3" t="s">
        <v>43</v>
      </c>
    </row>
    <row r="194" spans="1:13" x14ac:dyDescent="0.3">
      <c r="A194" s="3">
        <v>193</v>
      </c>
      <c r="B194" s="4">
        <v>45046</v>
      </c>
      <c r="C194" s="4" t="s">
        <v>55</v>
      </c>
      <c r="D194" s="5">
        <v>0.52500000000000002</v>
      </c>
      <c r="E194" s="3" t="s">
        <v>34</v>
      </c>
      <c r="F194" s="3" t="s">
        <v>24</v>
      </c>
      <c r="G194" s="3" t="s">
        <v>13</v>
      </c>
      <c r="H194" s="3" t="s">
        <v>40</v>
      </c>
      <c r="I194" s="3" t="s">
        <v>18</v>
      </c>
      <c r="J194" s="3" t="s">
        <v>21</v>
      </c>
      <c r="K194" s="4" t="s">
        <v>42</v>
      </c>
      <c r="L194" s="1" t="s">
        <v>42</v>
      </c>
      <c r="M194" s="3" t="s">
        <v>25</v>
      </c>
    </row>
    <row r="195" spans="1:13" x14ac:dyDescent="0.3">
      <c r="A195" s="3">
        <v>194</v>
      </c>
      <c r="B195" s="4">
        <v>45232</v>
      </c>
      <c r="C195" s="4" t="s">
        <v>46</v>
      </c>
      <c r="D195" s="5">
        <v>0.86736111111111114</v>
      </c>
      <c r="E195" s="3" t="s">
        <v>26</v>
      </c>
      <c r="F195" s="3" t="s">
        <v>24</v>
      </c>
      <c r="G195" s="3" t="s">
        <v>13</v>
      </c>
      <c r="H195" s="3" t="s">
        <v>15</v>
      </c>
      <c r="I195" s="3" t="s">
        <v>17</v>
      </c>
      <c r="J195" s="3" t="s">
        <v>20</v>
      </c>
      <c r="K195" s="4" t="s">
        <v>42</v>
      </c>
      <c r="L195" s="1" t="s">
        <v>42</v>
      </c>
      <c r="M195" s="3" t="s">
        <v>25</v>
      </c>
    </row>
    <row r="196" spans="1:13" x14ac:dyDescent="0.3">
      <c r="A196" s="3">
        <v>195</v>
      </c>
      <c r="B196" s="4">
        <v>45439</v>
      </c>
      <c r="C196" s="4" t="s">
        <v>47</v>
      </c>
      <c r="D196" s="5">
        <v>0.79652777777777772</v>
      </c>
      <c r="E196" s="3" t="s">
        <v>33</v>
      </c>
      <c r="F196" s="3" t="s">
        <v>24</v>
      </c>
      <c r="G196" s="3" t="s">
        <v>12</v>
      </c>
      <c r="H196" s="3" t="s">
        <v>15</v>
      </c>
      <c r="I196" s="3" t="s">
        <v>19</v>
      </c>
      <c r="J196" s="3" t="s">
        <v>22</v>
      </c>
      <c r="K196" s="4">
        <v>45441</v>
      </c>
      <c r="L196" s="1">
        <v>3</v>
      </c>
      <c r="M196" s="3" t="s">
        <v>25</v>
      </c>
    </row>
    <row r="197" spans="1:13" x14ac:dyDescent="0.3">
      <c r="A197" s="3">
        <v>196</v>
      </c>
      <c r="B197" s="4">
        <v>45280</v>
      </c>
      <c r="C197" s="4" t="s">
        <v>60</v>
      </c>
      <c r="D197" s="5">
        <v>0.9604166666666667</v>
      </c>
      <c r="E197" s="3" t="s">
        <v>29</v>
      </c>
      <c r="F197" s="3" t="s">
        <v>24</v>
      </c>
      <c r="G197" s="3" t="s">
        <v>39</v>
      </c>
      <c r="H197" s="3" t="s">
        <v>40</v>
      </c>
      <c r="I197" s="3" t="s">
        <v>17</v>
      </c>
      <c r="J197" s="3" t="s">
        <v>22</v>
      </c>
      <c r="K197" s="4">
        <v>45280</v>
      </c>
      <c r="L197" s="1">
        <v>18</v>
      </c>
      <c r="M197" s="3" t="s">
        <v>43</v>
      </c>
    </row>
    <row r="198" spans="1:13" x14ac:dyDescent="0.3">
      <c r="A198" s="3">
        <v>197</v>
      </c>
      <c r="B198" s="4">
        <v>45459</v>
      </c>
      <c r="C198" s="4" t="s">
        <v>58</v>
      </c>
      <c r="D198" s="5">
        <v>0.3305555555555556</v>
      </c>
      <c r="E198" s="3" t="s">
        <v>33</v>
      </c>
      <c r="F198" s="3" t="s">
        <v>24</v>
      </c>
      <c r="G198" s="3" t="s">
        <v>14</v>
      </c>
      <c r="H198" s="3" t="s">
        <v>40</v>
      </c>
      <c r="I198" s="3" t="s">
        <v>18</v>
      </c>
      <c r="J198" s="3" t="s">
        <v>20</v>
      </c>
      <c r="K198" s="4" t="s">
        <v>42</v>
      </c>
      <c r="L198" s="1" t="s">
        <v>42</v>
      </c>
      <c r="M198" s="3" t="s">
        <v>43</v>
      </c>
    </row>
    <row r="199" spans="1:13" x14ac:dyDescent="0.3">
      <c r="A199" s="3">
        <v>198</v>
      </c>
      <c r="B199" s="4">
        <v>45179</v>
      </c>
      <c r="C199" s="4" t="s">
        <v>51</v>
      </c>
      <c r="D199" s="5">
        <v>0.52777777777777779</v>
      </c>
      <c r="E199" s="3" t="s">
        <v>33</v>
      </c>
      <c r="F199" s="3" t="s">
        <v>24</v>
      </c>
      <c r="G199" s="3" t="s">
        <v>13</v>
      </c>
      <c r="H199" s="3" t="s">
        <v>16</v>
      </c>
      <c r="I199" s="3" t="s">
        <v>19</v>
      </c>
      <c r="J199" s="3" t="s">
        <v>22</v>
      </c>
      <c r="K199" s="4">
        <v>45179</v>
      </c>
      <c r="L199" s="1">
        <v>16</v>
      </c>
      <c r="M199" s="3" t="s">
        <v>25</v>
      </c>
    </row>
    <row r="200" spans="1:13" x14ac:dyDescent="0.3">
      <c r="A200" s="3">
        <v>199</v>
      </c>
      <c r="B200" s="4">
        <v>45067</v>
      </c>
      <c r="C200" s="4" t="s">
        <v>54</v>
      </c>
      <c r="D200" s="5">
        <v>0.31527777777777777</v>
      </c>
      <c r="E200" s="3" t="s">
        <v>35</v>
      </c>
      <c r="F200" s="3" t="s">
        <v>24</v>
      </c>
      <c r="G200" s="3" t="s">
        <v>13</v>
      </c>
      <c r="H200" s="3" t="s">
        <v>15</v>
      </c>
      <c r="I200" s="3" t="s">
        <v>17</v>
      </c>
      <c r="J200" s="3" t="s">
        <v>20</v>
      </c>
      <c r="K200" s="4" t="s">
        <v>42</v>
      </c>
      <c r="L200" s="1" t="s">
        <v>42</v>
      </c>
      <c r="M200" s="3" t="s">
        <v>25</v>
      </c>
    </row>
    <row r="201" spans="1:13" x14ac:dyDescent="0.3">
      <c r="A201" s="3">
        <v>200</v>
      </c>
      <c r="B201" s="4">
        <v>45202</v>
      </c>
      <c r="C201" s="4" t="s">
        <v>56</v>
      </c>
      <c r="D201" s="5">
        <v>0.23333333333333334</v>
      </c>
      <c r="E201" s="3" t="s">
        <v>35</v>
      </c>
      <c r="F201" s="3" t="s">
        <v>24</v>
      </c>
      <c r="G201" s="3" t="s">
        <v>14</v>
      </c>
      <c r="H201" s="3" t="s">
        <v>16</v>
      </c>
      <c r="I201" s="3" t="s">
        <v>18</v>
      </c>
      <c r="J201" s="3" t="s">
        <v>20</v>
      </c>
      <c r="K201" s="4" t="s">
        <v>42</v>
      </c>
      <c r="L201" s="1" t="s">
        <v>42</v>
      </c>
      <c r="M201" s="3" t="s">
        <v>43</v>
      </c>
    </row>
    <row r="202" spans="1:13" x14ac:dyDescent="0.3">
      <c r="A202" s="3">
        <v>201</v>
      </c>
      <c r="B202" s="4">
        <v>45420</v>
      </c>
      <c r="C202" s="4" t="s">
        <v>47</v>
      </c>
      <c r="D202" s="5">
        <v>0.58124999999999993</v>
      </c>
      <c r="E202" s="3" t="s">
        <v>32</v>
      </c>
      <c r="F202" s="3" t="s">
        <v>24</v>
      </c>
      <c r="G202" s="3" t="s">
        <v>38</v>
      </c>
      <c r="H202" s="3" t="s">
        <v>41</v>
      </c>
      <c r="I202" s="3" t="s">
        <v>18</v>
      </c>
      <c r="J202" s="3" t="s">
        <v>20</v>
      </c>
      <c r="K202" s="4" t="s">
        <v>42</v>
      </c>
      <c r="L202" s="1" t="s">
        <v>42</v>
      </c>
      <c r="M202" s="3" t="s">
        <v>43</v>
      </c>
    </row>
    <row r="203" spans="1:13" x14ac:dyDescent="0.3">
      <c r="A203" s="3">
        <v>202</v>
      </c>
      <c r="B203" s="4">
        <v>45306</v>
      </c>
      <c r="C203" s="4" t="s">
        <v>52</v>
      </c>
      <c r="D203" s="5">
        <v>0.66180555555555554</v>
      </c>
      <c r="E203" s="3" t="s">
        <v>32</v>
      </c>
      <c r="F203" s="3" t="s">
        <v>24</v>
      </c>
      <c r="G203" s="3" t="s">
        <v>14</v>
      </c>
      <c r="H203" s="3" t="s">
        <v>41</v>
      </c>
      <c r="I203" s="3" t="s">
        <v>17</v>
      </c>
      <c r="J203" s="3" t="s">
        <v>22</v>
      </c>
      <c r="K203" s="4">
        <v>45306</v>
      </c>
      <c r="L203" s="1">
        <v>17</v>
      </c>
      <c r="M203" s="3" t="s">
        <v>43</v>
      </c>
    </row>
    <row r="204" spans="1:13" x14ac:dyDescent="0.3">
      <c r="A204" s="3">
        <v>203</v>
      </c>
      <c r="B204" s="4">
        <v>45331</v>
      </c>
      <c r="C204" s="4" t="s">
        <v>63</v>
      </c>
      <c r="D204" s="5">
        <v>0.71250000000000002</v>
      </c>
      <c r="E204" s="3" t="s">
        <v>28</v>
      </c>
      <c r="F204" s="3" t="s">
        <v>24</v>
      </c>
      <c r="G204" s="3" t="s">
        <v>38</v>
      </c>
      <c r="H204" s="3" t="s">
        <v>15</v>
      </c>
      <c r="I204" s="3" t="s">
        <v>17</v>
      </c>
      <c r="J204" s="3" t="s">
        <v>22</v>
      </c>
      <c r="K204" s="4">
        <v>45333</v>
      </c>
      <c r="L204" s="1">
        <v>7</v>
      </c>
      <c r="M204" s="3" t="s">
        <v>43</v>
      </c>
    </row>
    <row r="205" spans="1:13" x14ac:dyDescent="0.3">
      <c r="A205" s="3">
        <v>204</v>
      </c>
      <c r="B205" s="4">
        <v>45631</v>
      </c>
      <c r="C205" s="4" t="s">
        <v>59</v>
      </c>
      <c r="D205" s="5">
        <v>0.67569444444444438</v>
      </c>
      <c r="E205" s="3" t="s">
        <v>30</v>
      </c>
      <c r="F205" s="3" t="s">
        <v>24</v>
      </c>
      <c r="G205" s="3" t="s">
        <v>12</v>
      </c>
      <c r="H205" s="3" t="s">
        <v>40</v>
      </c>
      <c r="I205" s="3" t="s">
        <v>17</v>
      </c>
      <c r="J205" s="3" t="s">
        <v>21</v>
      </c>
      <c r="K205" s="4" t="s">
        <v>42</v>
      </c>
      <c r="L205" s="1" t="s">
        <v>42</v>
      </c>
      <c r="M205" s="3" t="s">
        <v>25</v>
      </c>
    </row>
    <row r="206" spans="1:13" x14ac:dyDescent="0.3">
      <c r="A206" s="3">
        <v>205</v>
      </c>
      <c r="B206" s="4">
        <v>45576</v>
      </c>
      <c r="C206" s="4" t="s">
        <v>67</v>
      </c>
      <c r="D206" s="5">
        <v>0.70763888888888882</v>
      </c>
      <c r="E206" s="3" t="s">
        <v>33</v>
      </c>
      <c r="F206" s="3" t="s">
        <v>24</v>
      </c>
      <c r="G206" s="3" t="s">
        <v>39</v>
      </c>
      <c r="H206" s="3" t="s">
        <v>40</v>
      </c>
      <c r="I206" s="3" t="s">
        <v>19</v>
      </c>
      <c r="J206" s="3" t="s">
        <v>22</v>
      </c>
      <c r="K206" s="4">
        <v>45577</v>
      </c>
      <c r="L206" s="1">
        <v>18</v>
      </c>
      <c r="M206" s="3" t="s">
        <v>43</v>
      </c>
    </row>
    <row r="207" spans="1:13" x14ac:dyDescent="0.3">
      <c r="A207" s="3">
        <v>206</v>
      </c>
      <c r="B207" s="4">
        <v>45637</v>
      </c>
      <c r="C207" s="4" t="s">
        <v>59</v>
      </c>
      <c r="D207" s="5">
        <v>0.68888888888888888</v>
      </c>
      <c r="E207" s="3" t="s">
        <v>34</v>
      </c>
      <c r="F207" s="3" t="s">
        <v>24</v>
      </c>
      <c r="G207" s="3" t="s">
        <v>37</v>
      </c>
      <c r="H207" s="3" t="s">
        <v>15</v>
      </c>
      <c r="I207" s="3" t="s">
        <v>18</v>
      </c>
      <c r="J207" s="3" t="s">
        <v>22</v>
      </c>
      <c r="K207" s="4">
        <v>45637</v>
      </c>
      <c r="L207" s="1">
        <v>21</v>
      </c>
      <c r="M207" s="3" t="s">
        <v>43</v>
      </c>
    </row>
    <row r="208" spans="1:13" x14ac:dyDescent="0.3">
      <c r="A208" s="3">
        <v>207</v>
      </c>
      <c r="B208" s="4">
        <v>45241</v>
      </c>
      <c r="C208" s="4" t="s">
        <v>46</v>
      </c>
      <c r="D208" s="5">
        <v>0.33958333333333329</v>
      </c>
      <c r="E208" s="3" t="s">
        <v>31</v>
      </c>
      <c r="F208" s="3" t="s">
        <v>24</v>
      </c>
      <c r="G208" s="3" t="s">
        <v>12</v>
      </c>
      <c r="H208" s="3" t="s">
        <v>16</v>
      </c>
      <c r="I208" s="3" t="s">
        <v>18</v>
      </c>
      <c r="J208" s="3" t="s">
        <v>21</v>
      </c>
      <c r="K208" s="4" t="s">
        <v>42</v>
      </c>
      <c r="L208" s="1" t="s">
        <v>42</v>
      </c>
      <c r="M208" s="3" t="s">
        <v>25</v>
      </c>
    </row>
    <row r="209" spans="1:13" x14ac:dyDescent="0.3">
      <c r="A209" s="3">
        <v>208</v>
      </c>
      <c r="B209" s="4">
        <v>45273</v>
      </c>
      <c r="C209" s="4" t="s">
        <v>60</v>
      </c>
      <c r="D209" s="5">
        <v>0.69791666666666663</v>
      </c>
      <c r="E209" s="3" t="s">
        <v>30</v>
      </c>
      <c r="F209" s="3" t="s">
        <v>24</v>
      </c>
      <c r="G209" s="3" t="s">
        <v>13</v>
      </c>
      <c r="H209" s="3" t="s">
        <v>16</v>
      </c>
      <c r="I209" s="3" t="s">
        <v>19</v>
      </c>
      <c r="J209" s="3" t="s">
        <v>22</v>
      </c>
      <c r="K209" s="4">
        <v>45273</v>
      </c>
      <c r="L209" s="1">
        <v>11</v>
      </c>
      <c r="M209" s="3" t="s">
        <v>25</v>
      </c>
    </row>
    <row r="210" spans="1:13" x14ac:dyDescent="0.3">
      <c r="A210" s="3">
        <v>209</v>
      </c>
      <c r="B210" s="4">
        <v>45533</v>
      </c>
      <c r="C210" s="4" t="s">
        <v>64</v>
      </c>
      <c r="D210" s="5">
        <v>0.1388888888888889</v>
      </c>
      <c r="E210" s="3" t="s">
        <v>26</v>
      </c>
      <c r="F210" s="3" t="s">
        <v>24</v>
      </c>
      <c r="G210" s="3" t="s">
        <v>37</v>
      </c>
      <c r="H210" s="3" t="s">
        <v>40</v>
      </c>
      <c r="I210" s="3" t="s">
        <v>18</v>
      </c>
      <c r="J210" s="3" t="s">
        <v>22</v>
      </c>
      <c r="K210" s="4">
        <v>45533</v>
      </c>
      <c r="L210" s="1">
        <v>22</v>
      </c>
      <c r="M210" s="3" t="s">
        <v>43</v>
      </c>
    </row>
    <row r="211" spans="1:13" x14ac:dyDescent="0.3">
      <c r="A211" s="3">
        <v>210</v>
      </c>
      <c r="B211" s="4">
        <v>45621</v>
      </c>
      <c r="C211" s="4" t="s">
        <v>68</v>
      </c>
      <c r="D211" s="5">
        <v>0.71319444444444446</v>
      </c>
      <c r="E211" s="3" t="s">
        <v>26</v>
      </c>
      <c r="F211" s="3" t="s">
        <v>24</v>
      </c>
      <c r="G211" s="3" t="s">
        <v>38</v>
      </c>
      <c r="H211" s="3" t="s">
        <v>16</v>
      </c>
      <c r="I211" s="3" t="s">
        <v>18</v>
      </c>
      <c r="J211" s="3" t="s">
        <v>20</v>
      </c>
      <c r="K211" s="4" t="s">
        <v>42</v>
      </c>
      <c r="L211" s="1" t="s">
        <v>42</v>
      </c>
      <c r="M211" s="3" t="s">
        <v>43</v>
      </c>
    </row>
    <row r="212" spans="1:13" x14ac:dyDescent="0.3">
      <c r="A212" s="3">
        <v>211</v>
      </c>
      <c r="B212" s="4">
        <v>45575</v>
      </c>
      <c r="C212" s="4" t="s">
        <v>67</v>
      </c>
      <c r="D212" s="5">
        <v>0.25486111111111109</v>
      </c>
      <c r="E212" s="3" t="s">
        <v>23</v>
      </c>
      <c r="F212" s="3" t="s">
        <v>24</v>
      </c>
      <c r="G212" s="3" t="s">
        <v>13</v>
      </c>
      <c r="H212" s="3" t="s">
        <v>15</v>
      </c>
      <c r="I212" s="3" t="s">
        <v>17</v>
      </c>
      <c r="J212" s="3" t="s">
        <v>21</v>
      </c>
      <c r="K212" s="4" t="s">
        <v>42</v>
      </c>
      <c r="L212" s="1" t="s">
        <v>42</v>
      </c>
      <c r="M212" s="3" t="s">
        <v>25</v>
      </c>
    </row>
    <row r="213" spans="1:13" x14ac:dyDescent="0.3">
      <c r="A213" s="3">
        <v>212</v>
      </c>
      <c r="B213" s="4">
        <v>44994</v>
      </c>
      <c r="C213" s="4" t="s">
        <v>48</v>
      </c>
      <c r="D213" s="5">
        <v>0.17083333333333334</v>
      </c>
      <c r="E213" s="3" t="s">
        <v>35</v>
      </c>
      <c r="F213" s="3" t="s">
        <v>24</v>
      </c>
      <c r="G213" s="3" t="s">
        <v>38</v>
      </c>
      <c r="H213" s="3" t="s">
        <v>15</v>
      </c>
      <c r="I213" s="3" t="s">
        <v>18</v>
      </c>
      <c r="J213" s="3" t="s">
        <v>20</v>
      </c>
      <c r="K213" s="4" t="s">
        <v>42</v>
      </c>
      <c r="L213" s="1" t="s">
        <v>42</v>
      </c>
      <c r="M213" s="3" t="s">
        <v>43</v>
      </c>
    </row>
    <row r="214" spans="1:13" x14ac:dyDescent="0.3">
      <c r="A214" s="3">
        <v>213</v>
      </c>
      <c r="B214" s="4">
        <v>44989</v>
      </c>
      <c r="C214" s="4" t="s">
        <v>48</v>
      </c>
      <c r="D214" s="5">
        <v>0.42083333333333334</v>
      </c>
      <c r="E214" s="3" t="s">
        <v>28</v>
      </c>
      <c r="F214" s="3" t="s">
        <v>24</v>
      </c>
      <c r="G214" s="3" t="s">
        <v>37</v>
      </c>
      <c r="H214" s="3" t="s">
        <v>40</v>
      </c>
      <c r="I214" s="3" t="s">
        <v>18</v>
      </c>
      <c r="J214" s="3" t="s">
        <v>22</v>
      </c>
      <c r="K214" s="4">
        <v>44990</v>
      </c>
      <c r="L214" s="1">
        <v>4</v>
      </c>
      <c r="M214" s="3" t="s">
        <v>43</v>
      </c>
    </row>
    <row r="215" spans="1:13" x14ac:dyDescent="0.3">
      <c r="A215" s="3">
        <v>214</v>
      </c>
      <c r="B215" s="4">
        <v>45032</v>
      </c>
      <c r="C215" s="4" t="s">
        <v>55</v>
      </c>
      <c r="D215" s="5">
        <v>0.72083333333333333</v>
      </c>
      <c r="E215" s="3" t="s">
        <v>32</v>
      </c>
      <c r="F215" s="3" t="s">
        <v>24</v>
      </c>
      <c r="G215" s="3" t="s">
        <v>13</v>
      </c>
      <c r="H215" s="3" t="s">
        <v>40</v>
      </c>
      <c r="I215" s="3" t="s">
        <v>18</v>
      </c>
      <c r="J215" s="3" t="s">
        <v>21</v>
      </c>
      <c r="K215" s="4" t="s">
        <v>42</v>
      </c>
      <c r="L215" s="1" t="s">
        <v>42</v>
      </c>
      <c r="M215" s="3" t="s">
        <v>25</v>
      </c>
    </row>
    <row r="216" spans="1:13" x14ac:dyDescent="0.3">
      <c r="A216" s="3">
        <v>215</v>
      </c>
      <c r="B216" s="4">
        <v>45250</v>
      </c>
      <c r="C216" s="4" t="s">
        <v>46</v>
      </c>
      <c r="D216" s="5">
        <v>0.20694444444444443</v>
      </c>
      <c r="E216" s="3" t="s">
        <v>28</v>
      </c>
      <c r="F216" s="3" t="s">
        <v>24</v>
      </c>
      <c r="G216" s="3" t="s">
        <v>12</v>
      </c>
      <c r="H216" s="3" t="s">
        <v>16</v>
      </c>
      <c r="I216" s="3" t="s">
        <v>19</v>
      </c>
      <c r="J216" s="3" t="s">
        <v>20</v>
      </c>
      <c r="K216" s="4" t="s">
        <v>42</v>
      </c>
      <c r="L216" s="1" t="s">
        <v>42</v>
      </c>
      <c r="M216" s="3" t="s">
        <v>25</v>
      </c>
    </row>
    <row r="217" spans="1:13" x14ac:dyDescent="0.3">
      <c r="A217" s="3">
        <v>216</v>
      </c>
      <c r="B217" s="4">
        <v>45592</v>
      </c>
      <c r="C217" s="4" t="s">
        <v>67</v>
      </c>
      <c r="D217" s="5">
        <v>0.31527777777777777</v>
      </c>
      <c r="E217" s="3" t="s">
        <v>31</v>
      </c>
      <c r="F217" s="3" t="s">
        <v>24</v>
      </c>
      <c r="G217" s="3" t="s">
        <v>13</v>
      </c>
      <c r="H217" s="3" t="s">
        <v>16</v>
      </c>
      <c r="I217" s="3" t="s">
        <v>19</v>
      </c>
      <c r="J217" s="3" t="s">
        <v>21</v>
      </c>
      <c r="K217" s="4" t="s">
        <v>42</v>
      </c>
      <c r="L217" s="1" t="s">
        <v>42</v>
      </c>
      <c r="M217" s="3" t="s">
        <v>25</v>
      </c>
    </row>
    <row r="218" spans="1:13" x14ac:dyDescent="0.3">
      <c r="A218" s="3">
        <v>217</v>
      </c>
      <c r="B218" s="4">
        <v>45604</v>
      </c>
      <c r="C218" s="4" t="s">
        <v>68</v>
      </c>
      <c r="D218" s="5">
        <v>0.77708333333333335</v>
      </c>
      <c r="E218" s="3" t="s">
        <v>36</v>
      </c>
      <c r="F218" s="3" t="s">
        <v>24</v>
      </c>
      <c r="G218" s="3" t="s">
        <v>13</v>
      </c>
      <c r="H218" s="3" t="s">
        <v>16</v>
      </c>
      <c r="I218" s="3" t="s">
        <v>18</v>
      </c>
      <c r="J218" s="3" t="s">
        <v>20</v>
      </c>
      <c r="K218" s="4" t="s">
        <v>42</v>
      </c>
      <c r="L218" s="1" t="s">
        <v>42</v>
      </c>
      <c r="M218" s="3" t="s">
        <v>25</v>
      </c>
    </row>
    <row r="219" spans="1:13" x14ac:dyDescent="0.3">
      <c r="A219" s="3">
        <v>218</v>
      </c>
      <c r="B219" s="4">
        <v>45480</v>
      </c>
      <c r="C219" s="4" t="s">
        <v>65</v>
      </c>
      <c r="D219" s="5">
        <v>0.72708333333333341</v>
      </c>
      <c r="E219" s="3" t="s">
        <v>30</v>
      </c>
      <c r="F219" s="3" t="s">
        <v>24</v>
      </c>
      <c r="G219" s="3" t="s">
        <v>38</v>
      </c>
      <c r="H219" s="3" t="s">
        <v>15</v>
      </c>
      <c r="I219" s="3" t="s">
        <v>18</v>
      </c>
      <c r="J219" s="3" t="s">
        <v>21</v>
      </c>
      <c r="K219" s="4" t="s">
        <v>42</v>
      </c>
      <c r="L219" s="1" t="s">
        <v>42</v>
      </c>
      <c r="M219" s="3" t="s">
        <v>43</v>
      </c>
    </row>
    <row r="220" spans="1:13" x14ac:dyDescent="0.3">
      <c r="A220" s="3">
        <v>219</v>
      </c>
      <c r="B220" s="4">
        <v>45367</v>
      </c>
      <c r="C220" s="4" t="s">
        <v>62</v>
      </c>
      <c r="D220" s="5">
        <v>0.66111111111111109</v>
      </c>
      <c r="E220" s="3" t="s">
        <v>29</v>
      </c>
      <c r="F220" s="3" t="s">
        <v>24</v>
      </c>
      <c r="G220" s="3" t="s">
        <v>13</v>
      </c>
      <c r="H220" s="3" t="s">
        <v>40</v>
      </c>
      <c r="I220" s="3" t="s">
        <v>18</v>
      </c>
      <c r="J220" s="3" t="s">
        <v>22</v>
      </c>
      <c r="K220" s="4">
        <v>45369</v>
      </c>
      <c r="L220" s="1">
        <v>9</v>
      </c>
      <c r="M220" s="3" t="s">
        <v>25</v>
      </c>
    </row>
    <row r="221" spans="1:13" x14ac:dyDescent="0.3">
      <c r="A221" s="3">
        <v>220</v>
      </c>
      <c r="B221" s="4">
        <v>45209</v>
      </c>
      <c r="C221" s="4" t="s">
        <v>56</v>
      </c>
      <c r="D221" s="5">
        <v>0.52569444444444446</v>
      </c>
      <c r="E221" s="3" t="s">
        <v>31</v>
      </c>
      <c r="F221" s="3" t="s">
        <v>24</v>
      </c>
      <c r="G221" s="3" t="s">
        <v>12</v>
      </c>
      <c r="H221" s="3" t="s">
        <v>15</v>
      </c>
      <c r="I221" s="3" t="s">
        <v>18</v>
      </c>
      <c r="J221" s="3" t="s">
        <v>21</v>
      </c>
      <c r="K221" s="4" t="s">
        <v>42</v>
      </c>
      <c r="L221" s="1" t="s">
        <v>42</v>
      </c>
      <c r="M221" s="3" t="s">
        <v>25</v>
      </c>
    </row>
    <row r="222" spans="1:13" x14ac:dyDescent="0.3">
      <c r="A222" s="3">
        <v>221</v>
      </c>
      <c r="B222" s="4">
        <v>44970</v>
      </c>
      <c r="C222" s="4" t="s">
        <v>61</v>
      </c>
      <c r="D222" s="5">
        <v>0.20208333333333334</v>
      </c>
      <c r="E222" s="3" t="s">
        <v>35</v>
      </c>
      <c r="F222" s="3" t="s">
        <v>24</v>
      </c>
      <c r="G222" s="3" t="s">
        <v>37</v>
      </c>
      <c r="H222" s="3" t="s">
        <v>41</v>
      </c>
      <c r="I222" s="3" t="s">
        <v>18</v>
      </c>
      <c r="J222" s="3" t="s">
        <v>20</v>
      </c>
      <c r="K222" s="4" t="s">
        <v>42</v>
      </c>
      <c r="L222" s="1" t="s">
        <v>42</v>
      </c>
      <c r="M222" s="3" t="s">
        <v>43</v>
      </c>
    </row>
    <row r="223" spans="1:13" x14ac:dyDescent="0.3">
      <c r="A223" s="3">
        <v>222</v>
      </c>
      <c r="B223" s="4">
        <v>45498</v>
      </c>
      <c r="C223" s="4" t="s">
        <v>65</v>
      </c>
      <c r="D223" s="5">
        <v>0.97430555555555554</v>
      </c>
      <c r="E223" s="3" t="s">
        <v>32</v>
      </c>
      <c r="F223" s="3" t="s">
        <v>24</v>
      </c>
      <c r="G223" s="3" t="s">
        <v>13</v>
      </c>
      <c r="H223" s="3" t="s">
        <v>40</v>
      </c>
      <c r="I223" s="3" t="s">
        <v>18</v>
      </c>
      <c r="J223" s="3" t="s">
        <v>22</v>
      </c>
      <c r="K223" s="4">
        <v>45499</v>
      </c>
      <c r="L223" s="1">
        <v>5</v>
      </c>
      <c r="M223" s="3" t="s">
        <v>25</v>
      </c>
    </row>
    <row r="224" spans="1:13" x14ac:dyDescent="0.3">
      <c r="A224" s="3">
        <v>223</v>
      </c>
      <c r="B224" s="4">
        <v>45340</v>
      </c>
      <c r="C224" s="4" t="s">
        <v>63</v>
      </c>
      <c r="D224" s="5">
        <v>0.30000000000000004</v>
      </c>
      <c r="E224" s="3" t="s">
        <v>34</v>
      </c>
      <c r="F224" s="3" t="s">
        <v>24</v>
      </c>
      <c r="G224" s="3" t="s">
        <v>37</v>
      </c>
      <c r="H224" s="3" t="s">
        <v>16</v>
      </c>
      <c r="I224" s="3" t="s">
        <v>17</v>
      </c>
      <c r="J224" s="3" t="s">
        <v>22</v>
      </c>
      <c r="K224" s="4">
        <v>45342</v>
      </c>
      <c r="L224" s="1">
        <v>19</v>
      </c>
      <c r="M224" s="3" t="s">
        <v>43</v>
      </c>
    </row>
    <row r="225" spans="1:13" x14ac:dyDescent="0.3">
      <c r="A225" s="3">
        <v>224</v>
      </c>
      <c r="B225" s="4">
        <v>45643</v>
      </c>
      <c r="C225" s="4" t="s">
        <v>59</v>
      </c>
      <c r="D225" s="5">
        <v>0.7368055555555556</v>
      </c>
      <c r="E225" s="3" t="s">
        <v>32</v>
      </c>
      <c r="F225" s="3" t="s">
        <v>24</v>
      </c>
      <c r="G225" s="3" t="s">
        <v>12</v>
      </c>
      <c r="H225" s="3" t="s">
        <v>40</v>
      </c>
      <c r="I225" s="3" t="s">
        <v>19</v>
      </c>
      <c r="J225" s="3" t="s">
        <v>20</v>
      </c>
      <c r="K225" s="4" t="s">
        <v>42</v>
      </c>
      <c r="L225" s="1" t="s">
        <v>42</v>
      </c>
      <c r="M225" s="3" t="s">
        <v>25</v>
      </c>
    </row>
    <row r="226" spans="1:13" x14ac:dyDescent="0.3">
      <c r="A226" s="3">
        <v>225</v>
      </c>
      <c r="B226" s="4">
        <v>44980</v>
      </c>
      <c r="C226" s="4" t="s">
        <v>61</v>
      </c>
      <c r="D226" s="5">
        <v>0.90486111111111112</v>
      </c>
      <c r="E226" s="3" t="s">
        <v>35</v>
      </c>
      <c r="F226" s="3" t="s">
        <v>24</v>
      </c>
      <c r="G226" s="3" t="s">
        <v>14</v>
      </c>
      <c r="H226" s="3" t="s">
        <v>15</v>
      </c>
      <c r="I226" s="3" t="s">
        <v>19</v>
      </c>
      <c r="J226" s="3" t="s">
        <v>22</v>
      </c>
      <c r="K226" s="4">
        <v>44981</v>
      </c>
      <c r="L226" s="1">
        <v>7</v>
      </c>
      <c r="M226" s="3" t="s">
        <v>43</v>
      </c>
    </row>
    <row r="227" spans="1:13" x14ac:dyDescent="0.3">
      <c r="A227" s="3">
        <v>226</v>
      </c>
      <c r="B227" s="4">
        <v>44982</v>
      </c>
      <c r="C227" s="4" t="s">
        <v>61</v>
      </c>
      <c r="D227" s="5">
        <v>0.82013888888888886</v>
      </c>
      <c r="E227" s="3" t="s">
        <v>31</v>
      </c>
      <c r="F227" s="3" t="s">
        <v>24</v>
      </c>
      <c r="G227" s="3" t="s">
        <v>14</v>
      </c>
      <c r="H227" s="3" t="s">
        <v>16</v>
      </c>
      <c r="I227" s="3" t="s">
        <v>18</v>
      </c>
      <c r="J227" s="3" t="s">
        <v>22</v>
      </c>
      <c r="K227" s="4">
        <v>44983</v>
      </c>
      <c r="L227" s="1">
        <v>2</v>
      </c>
      <c r="M227" s="3" t="s">
        <v>43</v>
      </c>
    </row>
    <row r="228" spans="1:13" x14ac:dyDescent="0.3">
      <c r="A228" s="3">
        <v>227</v>
      </c>
      <c r="B228" s="4">
        <v>44978</v>
      </c>
      <c r="C228" s="4" t="s">
        <v>61</v>
      </c>
      <c r="D228" s="5">
        <v>0.24930555555555556</v>
      </c>
      <c r="E228" s="3" t="s">
        <v>30</v>
      </c>
      <c r="F228" s="3" t="s">
        <v>24</v>
      </c>
      <c r="G228" s="3" t="s">
        <v>38</v>
      </c>
      <c r="H228" s="3" t="s">
        <v>16</v>
      </c>
      <c r="I228" s="3" t="s">
        <v>18</v>
      </c>
      <c r="J228" s="3" t="s">
        <v>20</v>
      </c>
      <c r="K228" s="4" t="s">
        <v>42</v>
      </c>
      <c r="L228" s="1" t="s">
        <v>42</v>
      </c>
      <c r="M228" s="3" t="s">
        <v>43</v>
      </c>
    </row>
    <row r="229" spans="1:13" x14ac:dyDescent="0.3">
      <c r="A229" s="3">
        <v>228</v>
      </c>
      <c r="B229" s="4">
        <v>44942</v>
      </c>
      <c r="C229" s="4" t="s">
        <v>49</v>
      </c>
      <c r="D229" s="5">
        <v>0.34097222222222218</v>
      </c>
      <c r="E229" s="3" t="s">
        <v>29</v>
      </c>
      <c r="F229" s="3" t="s">
        <v>24</v>
      </c>
      <c r="G229" s="3" t="s">
        <v>14</v>
      </c>
      <c r="H229" s="3" t="s">
        <v>16</v>
      </c>
      <c r="I229" s="3" t="s">
        <v>18</v>
      </c>
      <c r="J229" s="3" t="s">
        <v>22</v>
      </c>
      <c r="K229" s="4">
        <v>44943</v>
      </c>
      <c r="L229" s="1">
        <v>14</v>
      </c>
      <c r="M229" s="3" t="s">
        <v>43</v>
      </c>
    </row>
    <row r="230" spans="1:13" x14ac:dyDescent="0.3">
      <c r="A230" s="3">
        <v>229</v>
      </c>
      <c r="B230" s="4">
        <v>45370</v>
      </c>
      <c r="C230" s="4" t="s">
        <v>62</v>
      </c>
      <c r="D230" s="5">
        <v>0.94097222222222221</v>
      </c>
      <c r="E230" s="3" t="s">
        <v>32</v>
      </c>
      <c r="F230" s="3" t="s">
        <v>24</v>
      </c>
      <c r="G230" s="3" t="s">
        <v>39</v>
      </c>
      <c r="H230" s="3" t="s">
        <v>41</v>
      </c>
      <c r="I230" s="3" t="s">
        <v>18</v>
      </c>
      <c r="J230" s="3" t="s">
        <v>22</v>
      </c>
      <c r="K230" s="4">
        <v>45372</v>
      </c>
      <c r="L230" s="1">
        <v>11</v>
      </c>
      <c r="M230" s="3" t="s">
        <v>43</v>
      </c>
    </row>
    <row r="231" spans="1:13" x14ac:dyDescent="0.3">
      <c r="A231" s="3">
        <v>230</v>
      </c>
      <c r="B231" s="4">
        <v>45088</v>
      </c>
      <c r="C231" s="4" t="s">
        <v>50</v>
      </c>
      <c r="D231" s="5">
        <v>0.67291666666666661</v>
      </c>
      <c r="E231" s="3" t="s">
        <v>34</v>
      </c>
      <c r="F231" s="3" t="s">
        <v>24</v>
      </c>
      <c r="G231" s="3" t="s">
        <v>12</v>
      </c>
      <c r="H231" s="3" t="s">
        <v>16</v>
      </c>
      <c r="I231" s="3" t="s">
        <v>17</v>
      </c>
      <c r="J231" s="3" t="s">
        <v>21</v>
      </c>
      <c r="K231" s="4" t="s">
        <v>42</v>
      </c>
      <c r="L231" s="1" t="s">
        <v>42</v>
      </c>
      <c r="M231" s="3" t="s">
        <v>25</v>
      </c>
    </row>
    <row r="232" spans="1:13" x14ac:dyDescent="0.3">
      <c r="A232" s="3">
        <v>231</v>
      </c>
      <c r="B232" s="4">
        <v>45620</v>
      </c>
      <c r="C232" s="4" t="s">
        <v>68</v>
      </c>
      <c r="D232" s="5">
        <v>0.94027777777777777</v>
      </c>
      <c r="E232" s="3" t="s">
        <v>35</v>
      </c>
      <c r="F232" s="3" t="s">
        <v>24</v>
      </c>
      <c r="G232" s="3" t="s">
        <v>13</v>
      </c>
      <c r="H232" s="3" t="s">
        <v>41</v>
      </c>
      <c r="I232" s="3" t="s">
        <v>18</v>
      </c>
      <c r="J232" s="3" t="s">
        <v>22</v>
      </c>
      <c r="K232" s="4">
        <v>45621</v>
      </c>
      <c r="L232" s="1">
        <v>9</v>
      </c>
      <c r="M232" s="3" t="s">
        <v>25</v>
      </c>
    </row>
    <row r="233" spans="1:13" x14ac:dyDescent="0.3">
      <c r="A233" s="3">
        <v>232</v>
      </c>
      <c r="B233" s="4">
        <v>45129</v>
      </c>
      <c r="C233" s="4" t="s">
        <v>53</v>
      </c>
      <c r="D233" s="5">
        <v>0.8618055555555556</v>
      </c>
      <c r="E233" s="3" t="s">
        <v>23</v>
      </c>
      <c r="F233" s="3" t="s">
        <v>24</v>
      </c>
      <c r="G233" s="3" t="s">
        <v>13</v>
      </c>
      <c r="H233" s="3" t="s">
        <v>40</v>
      </c>
      <c r="I233" s="3" t="s">
        <v>17</v>
      </c>
      <c r="J233" s="3" t="s">
        <v>20</v>
      </c>
      <c r="K233" s="4" t="s">
        <v>42</v>
      </c>
      <c r="L233" s="1" t="s">
        <v>42</v>
      </c>
      <c r="M233" s="3" t="s">
        <v>25</v>
      </c>
    </row>
    <row r="234" spans="1:13" x14ac:dyDescent="0.3">
      <c r="A234" s="3">
        <v>233</v>
      </c>
      <c r="B234" s="4">
        <v>45474</v>
      </c>
      <c r="C234" s="4" t="s">
        <v>65</v>
      </c>
      <c r="D234" s="5">
        <v>0.53402777777777777</v>
      </c>
      <c r="E234" s="3" t="s">
        <v>35</v>
      </c>
      <c r="F234" s="3" t="s">
        <v>24</v>
      </c>
      <c r="G234" s="3" t="s">
        <v>14</v>
      </c>
      <c r="H234" s="3" t="s">
        <v>41</v>
      </c>
      <c r="I234" s="3" t="s">
        <v>17</v>
      </c>
      <c r="J234" s="3" t="s">
        <v>21</v>
      </c>
      <c r="K234" s="4" t="s">
        <v>42</v>
      </c>
      <c r="L234" s="1" t="s">
        <v>42</v>
      </c>
      <c r="M234" s="3" t="s">
        <v>43</v>
      </c>
    </row>
    <row r="235" spans="1:13" x14ac:dyDescent="0.3">
      <c r="A235" s="3">
        <v>234</v>
      </c>
      <c r="B235" s="4">
        <v>45028</v>
      </c>
      <c r="C235" s="4" t="s">
        <v>55</v>
      </c>
      <c r="D235" s="5">
        <v>4.027777777777778E-2</v>
      </c>
      <c r="E235" s="3" t="s">
        <v>35</v>
      </c>
      <c r="F235" s="3" t="s">
        <v>24</v>
      </c>
      <c r="G235" s="3" t="s">
        <v>37</v>
      </c>
      <c r="H235" s="3" t="s">
        <v>16</v>
      </c>
      <c r="I235" s="3" t="s">
        <v>17</v>
      </c>
      <c r="J235" s="3" t="s">
        <v>22</v>
      </c>
      <c r="K235" s="4">
        <v>45029</v>
      </c>
      <c r="L235" s="1">
        <v>7</v>
      </c>
      <c r="M235" s="3" t="s">
        <v>43</v>
      </c>
    </row>
    <row r="236" spans="1:13" x14ac:dyDescent="0.3">
      <c r="A236" s="3">
        <v>235</v>
      </c>
      <c r="B236" s="4">
        <v>45116</v>
      </c>
      <c r="C236" s="4" t="s">
        <v>53</v>
      </c>
      <c r="D236" s="5">
        <v>0.59027777777777779</v>
      </c>
      <c r="E236" s="3" t="s">
        <v>26</v>
      </c>
      <c r="F236" s="3" t="s">
        <v>24</v>
      </c>
      <c r="G236" s="3" t="s">
        <v>37</v>
      </c>
      <c r="H236" s="3" t="s">
        <v>15</v>
      </c>
      <c r="I236" s="3" t="s">
        <v>18</v>
      </c>
      <c r="J236" s="3" t="s">
        <v>22</v>
      </c>
      <c r="K236" s="4">
        <v>45118</v>
      </c>
      <c r="L236" s="1">
        <v>2</v>
      </c>
      <c r="M236" s="3" t="s">
        <v>43</v>
      </c>
    </row>
    <row r="237" spans="1:13" x14ac:dyDescent="0.3">
      <c r="A237" s="3">
        <v>236</v>
      </c>
      <c r="B237" s="4">
        <v>45450</v>
      </c>
      <c r="C237" s="4" t="s">
        <v>58</v>
      </c>
      <c r="D237" s="5">
        <v>0.42569444444444449</v>
      </c>
      <c r="E237" s="3" t="s">
        <v>36</v>
      </c>
      <c r="F237" s="3" t="s">
        <v>24</v>
      </c>
      <c r="G237" s="3" t="s">
        <v>37</v>
      </c>
      <c r="H237" s="3" t="s">
        <v>15</v>
      </c>
      <c r="I237" s="3" t="s">
        <v>17</v>
      </c>
      <c r="J237" s="3" t="s">
        <v>22</v>
      </c>
      <c r="K237" s="4">
        <v>45452</v>
      </c>
      <c r="L237" s="1">
        <v>5</v>
      </c>
      <c r="M237" s="3" t="s">
        <v>43</v>
      </c>
    </row>
    <row r="238" spans="1:13" x14ac:dyDescent="0.3">
      <c r="A238" s="3">
        <v>237</v>
      </c>
      <c r="B238" s="4">
        <v>45535</v>
      </c>
      <c r="C238" s="4" t="s">
        <v>64</v>
      </c>
      <c r="D238" s="5">
        <v>0.26111111111111113</v>
      </c>
      <c r="E238" s="3" t="s">
        <v>32</v>
      </c>
      <c r="F238" s="3" t="s">
        <v>24</v>
      </c>
      <c r="G238" s="3" t="s">
        <v>14</v>
      </c>
      <c r="H238" s="3" t="s">
        <v>40</v>
      </c>
      <c r="I238" s="3" t="s">
        <v>17</v>
      </c>
      <c r="J238" s="3" t="s">
        <v>22</v>
      </c>
      <c r="K238" s="4">
        <v>45535</v>
      </c>
      <c r="L238" s="1">
        <v>3</v>
      </c>
      <c r="M238" s="3" t="s">
        <v>43</v>
      </c>
    </row>
    <row r="239" spans="1:13" x14ac:dyDescent="0.3">
      <c r="A239" s="3">
        <v>238</v>
      </c>
      <c r="B239" s="4">
        <v>44953</v>
      </c>
      <c r="C239" s="4" t="s">
        <v>49</v>
      </c>
      <c r="D239" s="5">
        <v>0.65486111111111112</v>
      </c>
      <c r="E239" s="3" t="s">
        <v>28</v>
      </c>
      <c r="F239" s="3" t="s">
        <v>24</v>
      </c>
      <c r="G239" s="3" t="s">
        <v>38</v>
      </c>
      <c r="H239" s="3" t="s">
        <v>16</v>
      </c>
      <c r="I239" s="3" t="s">
        <v>18</v>
      </c>
      <c r="J239" s="3" t="s">
        <v>20</v>
      </c>
      <c r="K239" s="4" t="s">
        <v>42</v>
      </c>
      <c r="L239" s="1" t="s">
        <v>42</v>
      </c>
      <c r="M239" s="3" t="s">
        <v>43</v>
      </c>
    </row>
    <row r="240" spans="1:13" x14ac:dyDescent="0.3">
      <c r="A240" s="3">
        <v>239</v>
      </c>
      <c r="B240" s="4">
        <v>45404</v>
      </c>
      <c r="C240" s="4" t="s">
        <v>57</v>
      </c>
      <c r="D240" s="5">
        <v>0.18402777777777776</v>
      </c>
      <c r="E240" s="3" t="s">
        <v>31</v>
      </c>
      <c r="F240" s="3" t="s">
        <v>24</v>
      </c>
      <c r="G240" s="3" t="s">
        <v>37</v>
      </c>
      <c r="H240" s="3" t="s">
        <v>15</v>
      </c>
      <c r="I240" s="3" t="s">
        <v>18</v>
      </c>
      <c r="J240" s="3" t="s">
        <v>21</v>
      </c>
      <c r="K240" s="4" t="s">
        <v>42</v>
      </c>
      <c r="L240" s="1" t="s">
        <v>42</v>
      </c>
      <c r="M240" s="3" t="s">
        <v>43</v>
      </c>
    </row>
    <row r="241" spans="1:13" x14ac:dyDescent="0.3">
      <c r="A241" s="3">
        <v>240</v>
      </c>
      <c r="B241" s="4">
        <v>45131</v>
      </c>
      <c r="C241" s="4" t="s">
        <v>53</v>
      </c>
      <c r="D241" s="5">
        <v>0.57361111111111107</v>
      </c>
      <c r="E241" s="3" t="s">
        <v>27</v>
      </c>
      <c r="F241" s="3" t="s">
        <v>24</v>
      </c>
      <c r="G241" s="3" t="s">
        <v>38</v>
      </c>
      <c r="H241" s="3" t="s">
        <v>40</v>
      </c>
      <c r="I241" s="3" t="s">
        <v>18</v>
      </c>
      <c r="J241" s="3" t="s">
        <v>20</v>
      </c>
      <c r="K241" s="4" t="s">
        <v>42</v>
      </c>
      <c r="L241" s="1" t="s">
        <v>42</v>
      </c>
      <c r="M241" s="3" t="s">
        <v>43</v>
      </c>
    </row>
    <row r="242" spans="1:13" x14ac:dyDescent="0.3">
      <c r="A242" s="3">
        <v>241</v>
      </c>
      <c r="B242" s="4">
        <v>45114</v>
      </c>
      <c r="C242" s="4" t="s">
        <v>53</v>
      </c>
      <c r="D242" s="5">
        <v>0.30625000000000002</v>
      </c>
      <c r="E242" s="3" t="s">
        <v>30</v>
      </c>
      <c r="F242" s="3" t="s">
        <v>24</v>
      </c>
      <c r="G242" s="3" t="s">
        <v>39</v>
      </c>
      <c r="H242" s="3" t="s">
        <v>16</v>
      </c>
      <c r="I242" s="3" t="s">
        <v>18</v>
      </c>
      <c r="J242" s="3" t="s">
        <v>20</v>
      </c>
      <c r="K242" s="4" t="s">
        <v>42</v>
      </c>
      <c r="L242" s="1" t="s">
        <v>42</v>
      </c>
      <c r="M242" s="3" t="s">
        <v>43</v>
      </c>
    </row>
    <row r="243" spans="1:13" x14ac:dyDescent="0.3">
      <c r="A243" s="3">
        <v>242</v>
      </c>
      <c r="B243" s="4">
        <v>45050</v>
      </c>
      <c r="C243" s="4" t="s">
        <v>54</v>
      </c>
      <c r="D243" s="5">
        <v>0.58263888888888882</v>
      </c>
      <c r="E243" s="3" t="s">
        <v>30</v>
      </c>
      <c r="F243" s="3" t="s">
        <v>24</v>
      </c>
      <c r="G243" s="3" t="s">
        <v>38</v>
      </c>
      <c r="H243" s="3" t="s">
        <v>40</v>
      </c>
      <c r="I243" s="3" t="s">
        <v>18</v>
      </c>
      <c r="J243" s="3" t="s">
        <v>22</v>
      </c>
      <c r="K243" s="4">
        <v>45050</v>
      </c>
      <c r="L243" s="1">
        <v>9</v>
      </c>
      <c r="M243" s="3" t="s">
        <v>43</v>
      </c>
    </row>
    <row r="244" spans="1:13" x14ac:dyDescent="0.3">
      <c r="A244" s="3">
        <v>243</v>
      </c>
      <c r="B244" s="4">
        <v>45216</v>
      </c>
      <c r="C244" s="4" t="s">
        <v>56</v>
      </c>
      <c r="D244" s="5">
        <v>0.33888888888888885</v>
      </c>
      <c r="E244" s="3" t="s">
        <v>28</v>
      </c>
      <c r="F244" s="3" t="s">
        <v>24</v>
      </c>
      <c r="G244" s="3" t="s">
        <v>14</v>
      </c>
      <c r="H244" s="3" t="s">
        <v>16</v>
      </c>
      <c r="I244" s="3" t="s">
        <v>19</v>
      </c>
      <c r="J244" s="3" t="s">
        <v>22</v>
      </c>
      <c r="K244" s="4">
        <v>45218</v>
      </c>
      <c r="L244" s="1">
        <v>14</v>
      </c>
      <c r="M244" s="3" t="s">
        <v>43</v>
      </c>
    </row>
    <row r="245" spans="1:13" x14ac:dyDescent="0.3">
      <c r="A245" s="3">
        <v>244</v>
      </c>
      <c r="B245" s="4">
        <v>45556</v>
      </c>
      <c r="C245" s="4" t="s">
        <v>66</v>
      </c>
      <c r="D245" s="5">
        <v>0.8979166666666667</v>
      </c>
      <c r="E245" s="3" t="s">
        <v>29</v>
      </c>
      <c r="F245" s="3" t="s">
        <v>24</v>
      </c>
      <c r="G245" s="3" t="s">
        <v>37</v>
      </c>
      <c r="H245" s="3" t="s">
        <v>40</v>
      </c>
      <c r="I245" s="3" t="s">
        <v>18</v>
      </c>
      <c r="J245" s="3" t="s">
        <v>21</v>
      </c>
      <c r="K245" s="4" t="s">
        <v>42</v>
      </c>
      <c r="L245" s="1" t="s">
        <v>42</v>
      </c>
      <c r="M245" s="3" t="s">
        <v>43</v>
      </c>
    </row>
    <row r="246" spans="1:13" x14ac:dyDescent="0.3">
      <c r="A246" s="3">
        <v>245</v>
      </c>
      <c r="B246" s="4">
        <v>45170</v>
      </c>
      <c r="C246" s="4" t="s">
        <v>51</v>
      </c>
      <c r="D246" s="5">
        <v>2.9861111111111113E-2</v>
      </c>
      <c r="E246" s="3" t="s">
        <v>29</v>
      </c>
      <c r="F246" s="3" t="s">
        <v>24</v>
      </c>
      <c r="G246" s="3" t="s">
        <v>14</v>
      </c>
      <c r="H246" s="3" t="s">
        <v>15</v>
      </c>
      <c r="I246" s="3" t="s">
        <v>17</v>
      </c>
      <c r="J246" s="3" t="s">
        <v>20</v>
      </c>
      <c r="K246" s="4" t="s">
        <v>42</v>
      </c>
      <c r="L246" s="1" t="s">
        <v>42</v>
      </c>
      <c r="M246" s="3" t="s">
        <v>43</v>
      </c>
    </row>
    <row r="247" spans="1:13" x14ac:dyDescent="0.3">
      <c r="A247" s="3">
        <v>246</v>
      </c>
      <c r="B247" s="4">
        <v>45462</v>
      </c>
      <c r="C247" s="4" t="s">
        <v>58</v>
      </c>
      <c r="D247" s="5">
        <v>0.8979166666666667</v>
      </c>
      <c r="E247" s="3" t="s">
        <v>34</v>
      </c>
      <c r="F247" s="3" t="s">
        <v>24</v>
      </c>
      <c r="G247" s="3" t="s">
        <v>39</v>
      </c>
      <c r="H247" s="3" t="s">
        <v>16</v>
      </c>
      <c r="I247" s="3" t="s">
        <v>17</v>
      </c>
      <c r="J247" s="3" t="s">
        <v>21</v>
      </c>
      <c r="K247" s="4" t="s">
        <v>42</v>
      </c>
      <c r="L247" s="1" t="s">
        <v>42</v>
      </c>
      <c r="M247" s="3" t="s">
        <v>43</v>
      </c>
    </row>
    <row r="248" spans="1:13" x14ac:dyDescent="0.3">
      <c r="A248" s="3">
        <v>247</v>
      </c>
      <c r="B248" s="4">
        <v>45635</v>
      </c>
      <c r="C248" s="4" t="s">
        <v>59</v>
      </c>
      <c r="D248" s="5">
        <v>0.11597222222222223</v>
      </c>
      <c r="E248" s="3" t="s">
        <v>23</v>
      </c>
      <c r="F248" s="3" t="s">
        <v>24</v>
      </c>
      <c r="G248" s="3" t="s">
        <v>39</v>
      </c>
      <c r="H248" s="3" t="s">
        <v>41</v>
      </c>
      <c r="I248" s="3" t="s">
        <v>17</v>
      </c>
      <c r="J248" s="3" t="s">
        <v>22</v>
      </c>
      <c r="K248" s="4">
        <v>45637</v>
      </c>
      <c r="L248" s="1">
        <v>20</v>
      </c>
      <c r="M248" s="3" t="s">
        <v>43</v>
      </c>
    </row>
    <row r="249" spans="1:13" x14ac:dyDescent="0.3">
      <c r="A249" s="3">
        <v>248</v>
      </c>
      <c r="B249" s="4">
        <v>45377</v>
      </c>
      <c r="C249" s="4" t="s">
        <v>62</v>
      </c>
      <c r="D249" s="5">
        <v>0.69513888888888886</v>
      </c>
      <c r="E249" s="3" t="s">
        <v>27</v>
      </c>
      <c r="F249" s="3" t="s">
        <v>24</v>
      </c>
      <c r="G249" s="3" t="s">
        <v>38</v>
      </c>
      <c r="H249" s="3" t="s">
        <v>15</v>
      </c>
      <c r="I249" s="3" t="s">
        <v>19</v>
      </c>
      <c r="J249" s="3" t="s">
        <v>22</v>
      </c>
      <c r="K249" s="4">
        <v>45379</v>
      </c>
      <c r="L249" s="1">
        <v>21</v>
      </c>
      <c r="M249" s="3" t="s">
        <v>43</v>
      </c>
    </row>
    <row r="250" spans="1:13" x14ac:dyDescent="0.3">
      <c r="A250" s="3">
        <v>249</v>
      </c>
      <c r="B250" s="4">
        <v>45567</v>
      </c>
      <c r="C250" s="4" t="s">
        <v>67</v>
      </c>
      <c r="D250" s="5">
        <v>0.36805555555555552</v>
      </c>
      <c r="E250" s="3" t="s">
        <v>34</v>
      </c>
      <c r="F250" s="3" t="s">
        <v>24</v>
      </c>
      <c r="G250" s="3" t="s">
        <v>39</v>
      </c>
      <c r="H250" s="3" t="s">
        <v>15</v>
      </c>
      <c r="I250" s="3" t="s">
        <v>17</v>
      </c>
      <c r="J250" s="3" t="s">
        <v>22</v>
      </c>
      <c r="K250" s="4">
        <v>45568</v>
      </c>
      <c r="L250" s="1">
        <v>8</v>
      </c>
      <c r="M250" s="3" t="s">
        <v>43</v>
      </c>
    </row>
    <row r="251" spans="1:13" x14ac:dyDescent="0.3">
      <c r="A251" s="3">
        <v>250</v>
      </c>
      <c r="B251" s="4">
        <v>45163</v>
      </c>
      <c r="C251" s="4" t="s">
        <v>69</v>
      </c>
      <c r="D251" s="5">
        <v>0.68333333333333335</v>
      </c>
      <c r="E251" s="3" t="s">
        <v>36</v>
      </c>
      <c r="F251" s="3" t="s">
        <v>24</v>
      </c>
      <c r="G251" s="3" t="s">
        <v>13</v>
      </c>
      <c r="H251" s="3" t="s">
        <v>15</v>
      </c>
      <c r="I251" s="3" t="s">
        <v>17</v>
      </c>
      <c r="J251" s="3" t="s">
        <v>20</v>
      </c>
      <c r="K251" s="4" t="s">
        <v>42</v>
      </c>
      <c r="L251" s="1" t="s">
        <v>42</v>
      </c>
      <c r="M251" s="3" t="s">
        <v>25</v>
      </c>
    </row>
    <row r="252" spans="1:13" x14ac:dyDescent="0.3">
      <c r="A252" s="3">
        <v>251</v>
      </c>
      <c r="B252" s="4">
        <v>45247</v>
      </c>
      <c r="C252" s="4" t="s">
        <v>46</v>
      </c>
      <c r="D252" s="5">
        <v>0.37013888888888885</v>
      </c>
      <c r="E252" s="3" t="s">
        <v>29</v>
      </c>
      <c r="F252" s="3" t="s">
        <v>24</v>
      </c>
      <c r="G252" s="3" t="s">
        <v>12</v>
      </c>
      <c r="H252" s="3" t="s">
        <v>16</v>
      </c>
      <c r="I252" s="3" t="s">
        <v>17</v>
      </c>
      <c r="J252" s="3" t="s">
        <v>20</v>
      </c>
      <c r="K252" s="4" t="s">
        <v>42</v>
      </c>
      <c r="L252" s="1" t="s">
        <v>42</v>
      </c>
      <c r="M252" s="3" t="s">
        <v>25</v>
      </c>
    </row>
    <row r="253" spans="1:13" x14ac:dyDescent="0.3">
      <c r="A253" s="3">
        <v>252</v>
      </c>
      <c r="B253" s="4">
        <v>45070</v>
      </c>
      <c r="C253" s="4" t="s">
        <v>54</v>
      </c>
      <c r="D253" s="5">
        <v>0.17986111111111111</v>
      </c>
      <c r="E253" s="3" t="s">
        <v>23</v>
      </c>
      <c r="F253" s="3" t="s">
        <v>24</v>
      </c>
      <c r="G253" s="3" t="s">
        <v>38</v>
      </c>
      <c r="H253" s="3" t="s">
        <v>15</v>
      </c>
      <c r="I253" s="3" t="s">
        <v>18</v>
      </c>
      <c r="J253" s="3" t="s">
        <v>20</v>
      </c>
      <c r="K253" s="4" t="s">
        <v>42</v>
      </c>
      <c r="L253" s="1" t="s">
        <v>42</v>
      </c>
      <c r="M253" s="3" t="s">
        <v>43</v>
      </c>
    </row>
    <row r="254" spans="1:13" x14ac:dyDescent="0.3">
      <c r="A254" s="3">
        <v>253</v>
      </c>
      <c r="B254" s="4">
        <v>45600</v>
      </c>
      <c r="C254" s="4" t="s">
        <v>68</v>
      </c>
      <c r="D254" s="5">
        <v>0.30486111111111114</v>
      </c>
      <c r="E254" s="3" t="s">
        <v>30</v>
      </c>
      <c r="F254" s="3" t="s">
        <v>24</v>
      </c>
      <c r="G254" s="3" t="s">
        <v>38</v>
      </c>
      <c r="H254" s="3" t="s">
        <v>40</v>
      </c>
      <c r="I254" s="3" t="s">
        <v>18</v>
      </c>
      <c r="J254" s="3" t="s">
        <v>21</v>
      </c>
      <c r="K254" s="4" t="s">
        <v>42</v>
      </c>
      <c r="L254" s="1" t="s">
        <v>42</v>
      </c>
      <c r="M254" s="3" t="s">
        <v>43</v>
      </c>
    </row>
    <row r="255" spans="1:13" x14ac:dyDescent="0.3">
      <c r="A255" s="3">
        <v>254</v>
      </c>
      <c r="B255" s="4">
        <v>45203</v>
      </c>
      <c r="C255" s="4" t="s">
        <v>56</v>
      </c>
      <c r="D255" s="5">
        <v>0.52430555555555558</v>
      </c>
      <c r="E255" s="3" t="s">
        <v>34</v>
      </c>
      <c r="F255" s="3" t="s">
        <v>24</v>
      </c>
      <c r="G255" s="3" t="s">
        <v>38</v>
      </c>
      <c r="H255" s="3" t="s">
        <v>41</v>
      </c>
      <c r="I255" s="3" t="s">
        <v>18</v>
      </c>
      <c r="J255" s="3" t="s">
        <v>22</v>
      </c>
      <c r="K255" s="4">
        <v>45203</v>
      </c>
      <c r="L255" s="1">
        <v>22</v>
      </c>
      <c r="M255" s="3" t="s">
        <v>43</v>
      </c>
    </row>
    <row r="256" spans="1:13" x14ac:dyDescent="0.3">
      <c r="A256" s="3">
        <v>255</v>
      </c>
      <c r="B256" s="4">
        <v>45167</v>
      </c>
      <c r="C256" s="4" t="s">
        <v>69</v>
      </c>
      <c r="D256" s="5">
        <v>0.63055555555555554</v>
      </c>
      <c r="E256" s="3" t="s">
        <v>23</v>
      </c>
      <c r="F256" s="3" t="s">
        <v>24</v>
      </c>
      <c r="G256" s="3" t="s">
        <v>39</v>
      </c>
      <c r="H256" s="3" t="s">
        <v>41</v>
      </c>
      <c r="I256" s="3" t="s">
        <v>18</v>
      </c>
      <c r="J256" s="3" t="s">
        <v>20</v>
      </c>
      <c r="K256" s="4" t="s">
        <v>42</v>
      </c>
      <c r="L256" s="1" t="s">
        <v>42</v>
      </c>
      <c r="M256" s="3" t="s">
        <v>43</v>
      </c>
    </row>
    <row r="257" spans="1:13" x14ac:dyDescent="0.3">
      <c r="A257" s="3">
        <v>256</v>
      </c>
      <c r="B257" s="4">
        <v>45545</v>
      </c>
      <c r="C257" s="4" t="s">
        <v>66</v>
      </c>
      <c r="D257" s="5">
        <v>0.16111111111111109</v>
      </c>
      <c r="E257" s="3" t="s">
        <v>30</v>
      </c>
      <c r="F257" s="3" t="s">
        <v>24</v>
      </c>
      <c r="G257" s="3" t="s">
        <v>12</v>
      </c>
      <c r="H257" s="3" t="s">
        <v>16</v>
      </c>
      <c r="I257" s="3" t="s">
        <v>17</v>
      </c>
      <c r="J257" s="3" t="s">
        <v>20</v>
      </c>
      <c r="K257" s="4" t="s">
        <v>42</v>
      </c>
      <c r="L257" s="1" t="s">
        <v>42</v>
      </c>
      <c r="M257" s="3" t="s">
        <v>25</v>
      </c>
    </row>
    <row r="258" spans="1:13" x14ac:dyDescent="0.3">
      <c r="A258" s="3">
        <v>257</v>
      </c>
      <c r="B258" s="4">
        <v>44993</v>
      </c>
      <c r="C258" s="4" t="s">
        <v>48</v>
      </c>
      <c r="D258" s="5">
        <v>0.10555555555555556</v>
      </c>
      <c r="E258" s="3" t="s">
        <v>33</v>
      </c>
      <c r="F258" s="3" t="s">
        <v>24</v>
      </c>
      <c r="G258" s="3" t="s">
        <v>13</v>
      </c>
      <c r="H258" s="3" t="s">
        <v>16</v>
      </c>
      <c r="I258" s="3" t="s">
        <v>18</v>
      </c>
      <c r="J258" s="3" t="s">
        <v>20</v>
      </c>
      <c r="K258" s="4" t="s">
        <v>42</v>
      </c>
      <c r="L258" s="1" t="s">
        <v>42</v>
      </c>
      <c r="M258" s="3" t="s">
        <v>25</v>
      </c>
    </row>
    <row r="259" spans="1:13" x14ac:dyDescent="0.3">
      <c r="A259" s="3">
        <v>258</v>
      </c>
      <c r="B259" s="4">
        <v>44950</v>
      </c>
      <c r="C259" s="4" t="s">
        <v>49</v>
      </c>
      <c r="D259" s="5">
        <v>0.9868055555555556</v>
      </c>
      <c r="E259" s="3" t="s">
        <v>33</v>
      </c>
      <c r="F259" s="3" t="s">
        <v>24</v>
      </c>
      <c r="G259" s="3" t="s">
        <v>38</v>
      </c>
      <c r="H259" s="3" t="s">
        <v>41</v>
      </c>
      <c r="I259" s="3" t="s">
        <v>18</v>
      </c>
      <c r="J259" s="3" t="s">
        <v>20</v>
      </c>
      <c r="K259" s="4" t="s">
        <v>42</v>
      </c>
      <c r="L259" s="1" t="s">
        <v>42</v>
      </c>
      <c r="M259" s="3" t="s">
        <v>43</v>
      </c>
    </row>
    <row r="260" spans="1:13" x14ac:dyDescent="0.3">
      <c r="A260" s="3">
        <v>259</v>
      </c>
      <c r="B260" s="4">
        <v>45086</v>
      </c>
      <c r="C260" s="4" t="s">
        <v>50</v>
      </c>
      <c r="D260" s="5">
        <v>0.80555555555555547</v>
      </c>
      <c r="E260" s="3" t="s">
        <v>35</v>
      </c>
      <c r="F260" s="3" t="s">
        <v>24</v>
      </c>
      <c r="G260" s="3" t="s">
        <v>14</v>
      </c>
      <c r="H260" s="3" t="s">
        <v>15</v>
      </c>
      <c r="I260" s="3" t="s">
        <v>18</v>
      </c>
      <c r="J260" s="3" t="s">
        <v>20</v>
      </c>
      <c r="K260" s="4" t="s">
        <v>42</v>
      </c>
      <c r="L260" s="1" t="s">
        <v>42</v>
      </c>
      <c r="M260" s="3" t="s">
        <v>43</v>
      </c>
    </row>
    <row r="261" spans="1:13" x14ac:dyDescent="0.3">
      <c r="A261" s="3">
        <v>260</v>
      </c>
      <c r="B261" s="4">
        <v>45208</v>
      </c>
      <c r="C261" s="4" t="s">
        <v>56</v>
      </c>
      <c r="D261" s="5">
        <v>0.74583333333333335</v>
      </c>
      <c r="E261" s="3" t="s">
        <v>28</v>
      </c>
      <c r="F261" s="3" t="s">
        <v>24</v>
      </c>
      <c r="G261" s="3" t="s">
        <v>39</v>
      </c>
      <c r="H261" s="3" t="s">
        <v>40</v>
      </c>
      <c r="I261" s="3" t="s">
        <v>18</v>
      </c>
      <c r="J261" s="3" t="s">
        <v>22</v>
      </c>
      <c r="K261" s="4">
        <v>45209</v>
      </c>
      <c r="L261" s="1">
        <v>11</v>
      </c>
      <c r="M261" s="3" t="s">
        <v>43</v>
      </c>
    </row>
    <row r="262" spans="1:13" x14ac:dyDescent="0.3">
      <c r="A262" s="3">
        <v>261</v>
      </c>
      <c r="B262" s="4">
        <v>45030</v>
      </c>
      <c r="C262" s="4" t="s">
        <v>55</v>
      </c>
      <c r="D262" s="5">
        <v>0.25</v>
      </c>
      <c r="E262" s="3" t="s">
        <v>27</v>
      </c>
      <c r="F262" s="3" t="s">
        <v>24</v>
      </c>
      <c r="G262" s="3" t="s">
        <v>38</v>
      </c>
      <c r="H262" s="3" t="s">
        <v>15</v>
      </c>
      <c r="I262" s="3" t="s">
        <v>18</v>
      </c>
      <c r="J262" s="3" t="s">
        <v>21</v>
      </c>
      <c r="K262" s="4" t="s">
        <v>42</v>
      </c>
      <c r="L262" s="1" t="s">
        <v>42</v>
      </c>
      <c r="M262" s="3" t="s">
        <v>43</v>
      </c>
    </row>
    <row r="263" spans="1:13" x14ac:dyDescent="0.3">
      <c r="A263" s="3">
        <v>262</v>
      </c>
      <c r="B263" s="4">
        <v>45310</v>
      </c>
      <c r="C263" s="4" t="s">
        <v>52</v>
      </c>
      <c r="D263" s="5">
        <v>0.62152777777777779</v>
      </c>
      <c r="E263" s="3" t="s">
        <v>28</v>
      </c>
      <c r="F263" s="3" t="s">
        <v>24</v>
      </c>
      <c r="G263" s="3" t="s">
        <v>38</v>
      </c>
      <c r="H263" s="3" t="s">
        <v>16</v>
      </c>
      <c r="I263" s="3" t="s">
        <v>17</v>
      </c>
      <c r="J263" s="3" t="s">
        <v>22</v>
      </c>
      <c r="K263" s="4">
        <v>45312</v>
      </c>
      <c r="L263" s="1">
        <v>3</v>
      </c>
      <c r="M263" s="3" t="s">
        <v>43</v>
      </c>
    </row>
    <row r="264" spans="1:13" x14ac:dyDescent="0.3">
      <c r="A264" s="3">
        <v>263</v>
      </c>
      <c r="B264" s="4">
        <v>45268</v>
      </c>
      <c r="C264" s="4" t="s">
        <v>60</v>
      </c>
      <c r="D264" s="5">
        <v>0.65763888888888888</v>
      </c>
      <c r="E264" s="3" t="s">
        <v>31</v>
      </c>
      <c r="F264" s="3" t="s">
        <v>24</v>
      </c>
      <c r="G264" s="3" t="s">
        <v>14</v>
      </c>
      <c r="H264" s="3" t="s">
        <v>41</v>
      </c>
      <c r="I264" s="3" t="s">
        <v>19</v>
      </c>
      <c r="J264" s="3" t="s">
        <v>22</v>
      </c>
      <c r="K264" s="4">
        <v>45270</v>
      </c>
      <c r="L264" s="1">
        <v>15</v>
      </c>
      <c r="M264" s="3" t="s">
        <v>43</v>
      </c>
    </row>
    <row r="265" spans="1:13" x14ac:dyDescent="0.3">
      <c r="A265" s="3">
        <v>264</v>
      </c>
      <c r="B265" s="4">
        <v>45317</v>
      </c>
      <c r="C265" s="4" t="s">
        <v>52</v>
      </c>
      <c r="D265" s="5">
        <v>0.78125</v>
      </c>
      <c r="E265" s="3" t="s">
        <v>26</v>
      </c>
      <c r="F265" s="3" t="s">
        <v>24</v>
      </c>
      <c r="G265" s="3" t="s">
        <v>39</v>
      </c>
      <c r="H265" s="3" t="s">
        <v>16</v>
      </c>
      <c r="I265" s="3" t="s">
        <v>19</v>
      </c>
      <c r="J265" s="3" t="s">
        <v>22</v>
      </c>
      <c r="K265" s="4">
        <v>45319</v>
      </c>
      <c r="L265" s="1">
        <v>10</v>
      </c>
      <c r="M265" s="3" t="s">
        <v>43</v>
      </c>
    </row>
    <row r="266" spans="1:13" x14ac:dyDescent="0.3">
      <c r="A266" s="3">
        <v>265</v>
      </c>
      <c r="B266" s="4">
        <v>45233</v>
      </c>
      <c r="C266" s="4" t="s">
        <v>46</v>
      </c>
      <c r="D266" s="5">
        <v>0.63888888888888884</v>
      </c>
      <c r="E266" s="3" t="s">
        <v>34</v>
      </c>
      <c r="F266" s="3" t="s">
        <v>24</v>
      </c>
      <c r="G266" s="3" t="s">
        <v>39</v>
      </c>
      <c r="H266" s="3" t="s">
        <v>15</v>
      </c>
      <c r="I266" s="3" t="s">
        <v>18</v>
      </c>
      <c r="J266" s="3" t="s">
        <v>22</v>
      </c>
      <c r="K266" s="4">
        <v>45235</v>
      </c>
      <c r="L266" s="1">
        <v>8</v>
      </c>
      <c r="M266" s="3" t="s">
        <v>43</v>
      </c>
    </row>
    <row r="267" spans="1:13" x14ac:dyDescent="0.3">
      <c r="A267" s="3">
        <v>266</v>
      </c>
      <c r="B267" s="4">
        <v>45503</v>
      </c>
      <c r="C267" s="4" t="s">
        <v>65</v>
      </c>
      <c r="D267" s="5">
        <v>0.28055555555555556</v>
      </c>
      <c r="E267" s="3" t="s">
        <v>26</v>
      </c>
      <c r="F267" s="3" t="s">
        <v>24</v>
      </c>
      <c r="G267" s="3" t="s">
        <v>14</v>
      </c>
      <c r="H267" s="3" t="s">
        <v>16</v>
      </c>
      <c r="I267" s="3" t="s">
        <v>18</v>
      </c>
      <c r="J267" s="3" t="s">
        <v>22</v>
      </c>
      <c r="K267" s="4">
        <v>45504</v>
      </c>
      <c r="L267" s="1">
        <v>15</v>
      </c>
      <c r="M267" s="3" t="s">
        <v>43</v>
      </c>
    </row>
    <row r="268" spans="1:13" x14ac:dyDescent="0.3">
      <c r="A268" s="3">
        <v>267</v>
      </c>
      <c r="B268" s="4">
        <v>45097</v>
      </c>
      <c r="C268" s="4" t="s">
        <v>50</v>
      </c>
      <c r="D268" s="5">
        <v>0.75555555555555554</v>
      </c>
      <c r="E268" s="3" t="s">
        <v>27</v>
      </c>
      <c r="F268" s="3" t="s">
        <v>24</v>
      </c>
      <c r="G268" s="3" t="s">
        <v>37</v>
      </c>
      <c r="H268" s="3" t="s">
        <v>16</v>
      </c>
      <c r="I268" s="3" t="s">
        <v>18</v>
      </c>
      <c r="J268" s="3" t="s">
        <v>22</v>
      </c>
      <c r="K268" s="4">
        <v>45098</v>
      </c>
      <c r="L268" s="1">
        <v>15</v>
      </c>
      <c r="M268" s="3" t="s">
        <v>43</v>
      </c>
    </row>
    <row r="269" spans="1:13" x14ac:dyDescent="0.3">
      <c r="A269" s="3">
        <v>268</v>
      </c>
      <c r="B269" s="4">
        <v>45405</v>
      </c>
      <c r="C269" s="4" t="s">
        <v>57</v>
      </c>
      <c r="D269" s="5">
        <v>0.57013888888888886</v>
      </c>
      <c r="E269" s="3" t="s">
        <v>33</v>
      </c>
      <c r="F269" s="3" t="s">
        <v>24</v>
      </c>
      <c r="G269" s="3" t="s">
        <v>37</v>
      </c>
      <c r="H269" s="3" t="s">
        <v>40</v>
      </c>
      <c r="I269" s="3" t="s">
        <v>19</v>
      </c>
      <c r="J269" s="3" t="s">
        <v>20</v>
      </c>
      <c r="K269" s="4" t="s">
        <v>42</v>
      </c>
      <c r="L269" s="1" t="s">
        <v>42</v>
      </c>
      <c r="M269" s="3" t="s">
        <v>43</v>
      </c>
    </row>
    <row r="270" spans="1:13" x14ac:dyDescent="0.3">
      <c r="A270" s="3">
        <v>269</v>
      </c>
      <c r="B270" s="4">
        <v>45152</v>
      </c>
      <c r="C270" s="4" t="s">
        <v>69</v>
      </c>
      <c r="D270" s="5">
        <v>0.50277777777777777</v>
      </c>
      <c r="E270" s="3" t="s">
        <v>29</v>
      </c>
      <c r="F270" s="3" t="s">
        <v>24</v>
      </c>
      <c r="G270" s="3" t="s">
        <v>13</v>
      </c>
      <c r="H270" s="3" t="s">
        <v>41</v>
      </c>
      <c r="I270" s="3" t="s">
        <v>18</v>
      </c>
      <c r="J270" s="3" t="s">
        <v>21</v>
      </c>
      <c r="K270" s="4" t="s">
        <v>42</v>
      </c>
      <c r="L270" s="1" t="s">
        <v>42</v>
      </c>
      <c r="M270" s="3" t="s">
        <v>25</v>
      </c>
    </row>
    <row r="271" spans="1:13" x14ac:dyDescent="0.3">
      <c r="A271" s="3">
        <v>270</v>
      </c>
      <c r="B271" s="4">
        <v>45645</v>
      </c>
      <c r="C271" s="4" t="s">
        <v>59</v>
      </c>
      <c r="D271" s="5">
        <v>0.50555555555555554</v>
      </c>
      <c r="E271" s="3" t="s">
        <v>35</v>
      </c>
      <c r="F271" s="3" t="s">
        <v>24</v>
      </c>
      <c r="G271" s="3" t="s">
        <v>38</v>
      </c>
      <c r="H271" s="3" t="s">
        <v>40</v>
      </c>
      <c r="I271" s="3" t="s">
        <v>18</v>
      </c>
      <c r="J271" s="3" t="s">
        <v>20</v>
      </c>
      <c r="K271" s="4" t="s">
        <v>42</v>
      </c>
      <c r="L271" s="1" t="s">
        <v>42</v>
      </c>
      <c r="M271" s="3" t="s">
        <v>43</v>
      </c>
    </row>
    <row r="272" spans="1:13" x14ac:dyDescent="0.3">
      <c r="A272" s="3">
        <v>271</v>
      </c>
      <c r="B272" s="4">
        <v>45544</v>
      </c>
      <c r="C272" s="4" t="s">
        <v>66</v>
      </c>
      <c r="D272" s="5">
        <v>0.51388888888888884</v>
      </c>
      <c r="E272" s="3" t="s">
        <v>33</v>
      </c>
      <c r="F272" s="3" t="s">
        <v>24</v>
      </c>
      <c r="G272" s="3" t="s">
        <v>39</v>
      </c>
      <c r="H272" s="3" t="s">
        <v>40</v>
      </c>
      <c r="I272" s="3" t="s">
        <v>18</v>
      </c>
      <c r="J272" s="3" t="s">
        <v>22</v>
      </c>
      <c r="K272" s="4">
        <v>45546</v>
      </c>
      <c r="L272" s="1">
        <v>14</v>
      </c>
      <c r="M272" s="3" t="s">
        <v>43</v>
      </c>
    </row>
    <row r="273" spans="1:13" x14ac:dyDescent="0.3">
      <c r="A273" s="3">
        <v>272</v>
      </c>
      <c r="B273" s="4">
        <v>45133</v>
      </c>
      <c r="C273" s="4" t="s">
        <v>53</v>
      </c>
      <c r="D273" s="5">
        <v>0.75069444444444444</v>
      </c>
      <c r="E273" s="3" t="s">
        <v>26</v>
      </c>
      <c r="F273" s="3" t="s">
        <v>24</v>
      </c>
      <c r="G273" s="3" t="s">
        <v>37</v>
      </c>
      <c r="H273" s="3" t="s">
        <v>41</v>
      </c>
      <c r="I273" s="3" t="s">
        <v>17</v>
      </c>
      <c r="J273" s="3" t="s">
        <v>21</v>
      </c>
      <c r="K273" s="4" t="s">
        <v>42</v>
      </c>
      <c r="L273" s="1" t="s">
        <v>42</v>
      </c>
      <c r="M273" s="3" t="s">
        <v>43</v>
      </c>
    </row>
    <row r="274" spans="1:13" x14ac:dyDescent="0.3">
      <c r="A274" s="3">
        <v>273</v>
      </c>
      <c r="B274" s="4">
        <v>45222</v>
      </c>
      <c r="C274" s="4" t="s">
        <v>56</v>
      </c>
      <c r="D274" s="5">
        <v>0.54097222222222219</v>
      </c>
      <c r="E274" s="3" t="s">
        <v>36</v>
      </c>
      <c r="F274" s="3" t="s">
        <v>24</v>
      </c>
      <c r="G274" s="3" t="s">
        <v>14</v>
      </c>
      <c r="H274" s="3" t="s">
        <v>15</v>
      </c>
      <c r="I274" s="3" t="s">
        <v>18</v>
      </c>
      <c r="J274" s="3" t="s">
        <v>20</v>
      </c>
      <c r="K274" s="4" t="s">
        <v>42</v>
      </c>
      <c r="L274" s="1" t="s">
        <v>42</v>
      </c>
      <c r="M274" s="3" t="s">
        <v>43</v>
      </c>
    </row>
    <row r="275" spans="1:13" x14ac:dyDescent="0.3">
      <c r="A275" s="3">
        <v>274</v>
      </c>
      <c r="B275" s="4">
        <v>45293</v>
      </c>
      <c r="C275" s="4" t="s">
        <v>52</v>
      </c>
      <c r="D275" s="5">
        <v>0.5229166666666667</v>
      </c>
      <c r="E275" s="3" t="s">
        <v>31</v>
      </c>
      <c r="F275" s="3" t="s">
        <v>24</v>
      </c>
      <c r="G275" s="3" t="s">
        <v>37</v>
      </c>
      <c r="H275" s="3" t="s">
        <v>41</v>
      </c>
      <c r="I275" s="3" t="s">
        <v>17</v>
      </c>
      <c r="J275" s="3" t="s">
        <v>20</v>
      </c>
      <c r="K275" s="4" t="s">
        <v>42</v>
      </c>
      <c r="L275" s="1" t="s">
        <v>42</v>
      </c>
      <c r="M275" s="3" t="s">
        <v>43</v>
      </c>
    </row>
    <row r="276" spans="1:13" x14ac:dyDescent="0.3">
      <c r="A276" s="3">
        <v>275</v>
      </c>
      <c r="B276" s="4">
        <v>45485</v>
      </c>
      <c r="C276" s="4" t="s">
        <v>65</v>
      </c>
      <c r="D276" s="5">
        <v>0.27083333333333331</v>
      </c>
      <c r="E276" s="3" t="s">
        <v>36</v>
      </c>
      <c r="F276" s="3" t="s">
        <v>24</v>
      </c>
      <c r="G276" s="3" t="s">
        <v>13</v>
      </c>
      <c r="H276" s="3" t="s">
        <v>16</v>
      </c>
      <c r="I276" s="3" t="s">
        <v>19</v>
      </c>
      <c r="J276" s="3" t="s">
        <v>21</v>
      </c>
      <c r="K276" s="4" t="s">
        <v>42</v>
      </c>
      <c r="L276" s="1" t="s">
        <v>42</v>
      </c>
      <c r="M276" s="3" t="s">
        <v>25</v>
      </c>
    </row>
    <row r="277" spans="1:13" x14ac:dyDescent="0.3">
      <c r="A277" s="3">
        <v>276</v>
      </c>
      <c r="B277" s="4">
        <v>45258</v>
      </c>
      <c r="C277" s="4" t="s">
        <v>46</v>
      </c>
      <c r="D277" s="5">
        <v>0.69236111111111109</v>
      </c>
      <c r="E277" s="3" t="s">
        <v>29</v>
      </c>
      <c r="F277" s="3" t="s">
        <v>24</v>
      </c>
      <c r="G277" s="3" t="s">
        <v>12</v>
      </c>
      <c r="H277" s="3" t="s">
        <v>41</v>
      </c>
      <c r="I277" s="3" t="s">
        <v>17</v>
      </c>
      <c r="J277" s="3" t="s">
        <v>22</v>
      </c>
      <c r="K277" s="4">
        <v>45258</v>
      </c>
      <c r="L277" s="1">
        <v>5</v>
      </c>
      <c r="M277" s="3" t="s">
        <v>25</v>
      </c>
    </row>
    <row r="278" spans="1:13" x14ac:dyDescent="0.3">
      <c r="A278" s="3">
        <v>277</v>
      </c>
      <c r="B278" s="4">
        <v>45611</v>
      </c>
      <c r="C278" s="4" t="s">
        <v>68</v>
      </c>
      <c r="D278" s="5">
        <v>0.17013888888888887</v>
      </c>
      <c r="E278" s="3" t="s">
        <v>36</v>
      </c>
      <c r="F278" s="3" t="s">
        <v>24</v>
      </c>
      <c r="G278" s="3" t="s">
        <v>37</v>
      </c>
      <c r="H278" s="3" t="s">
        <v>41</v>
      </c>
      <c r="I278" s="3" t="s">
        <v>18</v>
      </c>
      <c r="J278" s="3" t="s">
        <v>21</v>
      </c>
      <c r="K278" s="4" t="s">
        <v>42</v>
      </c>
      <c r="L278" s="1" t="s">
        <v>42</v>
      </c>
      <c r="M278" s="3" t="s">
        <v>43</v>
      </c>
    </row>
    <row r="279" spans="1:13" x14ac:dyDescent="0.3">
      <c r="A279" s="3">
        <v>278</v>
      </c>
      <c r="B279" s="4">
        <v>45345</v>
      </c>
      <c r="C279" s="4" t="s">
        <v>63</v>
      </c>
      <c r="D279" s="5">
        <v>0.82638888888888884</v>
      </c>
      <c r="E279" s="3" t="s">
        <v>23</v>
      </c>
      <c r="F279" s="3" t="s">
        <v>24</v>
      </c>
      <c r="G279" s="3" t="s">
        <v>13</v>
      </c>
      <c r="H279" s="3" t="s">
        <v>15</v>
      </c>
      <c r="I279" s="3" t="s">
        <v>19</v>
      </c>
      <c r="J279" s="3" t="s">
        <v>22</v>
      </c>
      <c r="K279" s="4">
        <v>45347</v>
      </c>
      <c r="L279" s="1">
        <v>19</v>
      </c>
      <c r="M279" s="3" t="s">
        <v>25</v>
      </c>
    </row>
    <row r="280" spans="1:13" x14ac:dyDescent="0.3">
      <c r="A280" s="3">
        <v>279</v>
      </c>
      <c r="B280" s="4">
        <v>44978</v>
      </c>
      <c r="C280" s="4" t="s">
        <v>61</v>
      </c>
      <c r="D280" s="5">
        <v>0.58611111111111114</v>
      </c>
      <c r="E280" s="3" t="s">
        <v>32</v>
      </c>
      <c r="F280" s="3" t="s">
        <v>24</v>
      </c>
      <c r="G280" s="3" t="s">
        <v>38</v>
      </c>
      <c r="H280" s="3" t="s">
        <v>41</v>
      </c>
      <c r="I280" s="3" t="s">
        <v>19</v>
      </c>
      <c r="J280" s="3" t="s">
        <v>22</v>
      </c>
      <c r="K280" s="4">
        <v>44979</v>
      </c>
      <c r="L280" s="1">
        <v>6</v>
      </c>
      <c r="M280" s="3" t="s">
        <v>43</v>
      </c>
    </row>
    <row r="281" spans="1:13" x14ac:dyDescent="0.3">
      <c r="A281" s="3">
        <v>280</v>
      </c>
      <c r="B281" s="4">
        <v>45246</v>
      </c>
      <c r="C281" s="4" t="s">
        <v>46</v>
      </c>
      <c r="D281" s="5">
        <v>8.7499999999999994E-2</v>
      </c>
      <c r="E281" s="3" t="s">
        <v>32</v>
      </c>
      <c r="F281" s="3" t="s">
        <v>24</v>
      </c>
      <c r="G281" s="3" t="s">
        <v>39</v>
      </c>
      <c r="H281" s="3" t="s">
        <v>41</v>
      </c>
      <c r="I281" s="3" t="s">
        <v>19</v>
      </c>
      <c r="J281" s="3" t="s">
        <v>22</v>
      </c>
      <c r="K281" s="4">
        <v>45248</v>
      </c>
      <c r="L281" s="1">
        <v>6</v>
      </c>
      <c r="M281" s="3" t="s">
        <v>43</v>
      </c>
    </row>
    <row r="282" spans="1:13" x14ac:dyDescent="0.3">
      <c r="A282" s="3">
        <v>281</v>
      </c>
      <c r="B282" s="4">
        <v>45146</v>
      </c>
      <c r="C282" s="4" t="s">
        <v>69</v>
      </c>
      <c r="D282" s="5">
        <v>8.4722222222222213E-2</v>
      </c>
      <c r="E282" s="3" t="s">
        <v>30</v>
      </c>
      <c r="F282" s="3" t="s">
        <v>24</v>
      </c>
      <c r="G282" s="3" t="s">
        <v>13</v>
      </c>
      <c r="H282" s="3" t="s">
        <v>15</v>
      </c>
      <c r="I282" s="3" t="s">
        <v>19</v>
      </c>
      <c r="J282" s="3" t="s">
        <v>21</v>
      </c>
      <c r="K282" s="4" t="s">
        <v>42</v>
      </c>
      <c r="L282" s="1" t="s">
        <v>42</v>
      </c>
      <c r="M282" s="3" t="s">
        <v>25</v>
      </c>
    </row>
    <row r="283" spans="1:13" x14ac:dyDescent="0.3">
      <c r="A283" s="3">
        <v>282</v>
      </c>
      <c r="B283" s="4">
        <v>45124</v>
      </c>
      <c r="C283" s="4" t="s">
        <v>53</v>
      </c>
      <c r="D283" s="5">
        <v>0.15208333333333335</v>
      </c>
      <c r="E283" s="3" t="s">
        <v>29</v>
      </c>
      <c r="F283" s="3" t="s">
        <v>24</v>
      </c>
      <c r="G283" s="3" t="s">
        <v>39</v>
      </c>
      <c r="H283" s="3" t="s">
        <v>41</v>
      </c>
      <c r="I283" s="3" t="s">
        <v>17</v>
      </c>
      <c r="J283" s="3" t="s">
        <v>20</v>
      </c>
      <c r="K283" s="4" t="s">
        <v>42</v>
      </c>
      <c r="L283" s="1" t="s">
        <v>42</v>
      </c>
      <c r="M283" s="3" t="s">
        <v>43</v>
      </c>
    </row>
    <row r="284" spans="1:13" x14ac:dyDescent="0.3">
      <c r="A284" s="3">
        <v>283</v>
      </c>
      <c r="B284" s="4">
        <v>45598</v>
      </c>
      <c r="C284" s="4" t="s">
        <v>68</v>
      </c>
      <c r="D284" s="5">
        <v>0.25347222222222221</v>
      </c>
      <c r="E284" s="3" t="s">
        <v>34</v>
      </c>
      <c r="F284" s="3" t="s">
        <v>24</v>
      </c>
      <c r="G284" s="3" t="s">
        <v>14</v>
      </c>
      <c r="H284" s="3" t="s">
        <v>41</v>
      </c>
      <c r="I284" s="3" t="s">
        <v>18</v>
      </c>
      <c r="J284" s="3" t="s">
        <v>22</v>
      </c>
      <c r="K284" s="4">
        <v>45599</v>
      </c>
      <c r="L284" s="1">
        <v>24</v>
      </c>
      <c r="M284" s="3" t="s">
        <v>43</v>
      </c>
    </row>
    <row r="285" spans="1:13" x14ac:dyDescent="0.3">
      <c r="A285" s="3">
        <v>284</v>
      </c>
      <c r="B285" s="4">
        <v>45236</v>
      </c>
      <c r="C285" s="4" t="s">
        <v>46</v>
      </c>
      <c r="D285" s="5">
        <v>0.37152777777777779</v>
      </c>
      <c r="E285" s="3" t="s">
        <v>31</v>
      </c>
      <c r="F285" s="3" t="s">
        <v>24</v>
      </c>
      <c r="G285" s="3" t="s">
        <v>37</v>
      </c>
      <c r="H285" s="3" t="s">
        <v>41</v>
      </c>
      <c r="I285" s="3" t="s">
        <v>17</v>
      </c>
      <c r="J285" s="3" t="s">
        <v>20</v>
      </c>
      <c r="K285" s="4" t="s">
        <v>42</v>
      </c>
      <c r="L285" s="1" t="s">
        <v>42</v>
      </c>
      <c r="M285" s="3" t="s">
        <v>43</v>
      </c>
    </row>
    <row r="286" spans="1:13" x14ac:dyDescent="0.3">
      <c r="A286" s="3">
        <v>285</v>
      </c>
      <c r="B286" s="4">
        <v>45113</v>
      </c>
      <c r="C286" s="4" t="s">
        <v>53</v>
      </c>
      <c r="D286" s="5">
        <v>0.42569444444444449</v>
      </c>
      <c r="E286" s="3" t="s">
        <v>32</v>
      </c>
      <c r="F286" s="3" t="s">
        <v>24</v>
      </c>
      <c r="G286" s="3" t="s">
        <v>37</v>
      </c>
      <c r="H286" s="3" t="s">
        <v>40</v>
      </c>
      <c r="I286" s="3" t="s">
        <v>17</v>
      </c>
      <c r="J286" s="3" t="s">
        <v>20</v>
      </c>
      <c r="K286" s="4" t="s">
        <v>42</v>
      </c>
      <c r="L286" s="1" t="s">
        <v>42</v>
      </c>
      <c r="M286" s="3" t="s">
        <v>43</v>
      </c>
    </row>
    <row r="287" spans="1:13" x14ac:dyDescent="0.3">
      <c r="A287" s="3">
        <v>286</v>
      </c>
      <c r="B287" s="4">
        <v>45544</v>
      </c>
      <c r="C287" s="4" t="s">
        <v>66</v>
      </c>
      <c r="D287" s="5">
        <v>0.24930555555555556</v>
      </c>
      <c r="E287" s="3" t="s">
        <v>27</v>
      </c>
      <c r="F287" s="3" t="s">
        <v>24</v>
      </c>
      <c r="G287" s="3" t="s">
        <v>38</v>
      </c>
      <c r="H287" s="3" t="s">
        <v>16</v>
      </c>
      <c r="I287" s="3" t="s">
        <v>17</v>
      </c>
      <c r="J287" s="3" t="s">
        <v>22</v>
      </c>
      <c r="K287" s="4">
        <v>45544</v>
      </c>
      <c r="L287" s="1">
        <v>13</v>
      </c>
      <c r="M287" s="3" t="s">
        <v>43</v>
      </c>
    </row>
    <row r="288" spans="1:13" x14ac:dyDescent="0.3">
      <c r="A288" s="3">
        <v>287</v>
      </c>
      <c r="B288" s="4">
        <v>45457</v>
      </c>
      <c r="C288" s="4" t="s">
        <v>58</v>
      </c>
      <c r="D288" s="5">
        <v>0.19166666666666665</v>
      </c>
      <c r="E288" s="3" t="s">
        <v>23</v>
      </c>
      <c r="F288" s="3" t="s">
        <v>24</v>
      </c>
      <c r="G288" s="3" t="s">
        <v>12</v>
      </c>
      <c r="H288" s="3" t="s">
        <v>15</v>
      </c>
      <c r="I288" s="3" t="s">
        <v>19</v>
      </c>
      <c r="J288" s="3" t="s">
        <v>22</v>
      </c>
      <c r="K288" s="4">
        <v>45459</v>
      </c>
      <c r="L288" s="1">
        <v>15</v>
      </c>
      <c r="M288" s="3" t="s">
        <v>25</v>
      </c>
    </row>
    <row r="289" spans="1:13" x14ac:dyDescent="0.3">
      <c r="A289" s="3">
        <v>288</v>
      </c>
      <c r="B289" s="4">
        <v>45039</v>
      </c>
      <c r="C289" s="4" t="s">
        <v>55</v>
      </c>
      <c r="D289" s="5">
        <v>0.15763888888888888</v>
      </c>
      <c r="E289" s="3" t="s">
        <v>23</v>
      </c>
      <c r="F289" s="3" t="s">
        <v>24</v>
      </c>
      <c r="G289" s="3" t="s">
        <v>38</v>
      </c>
      <c r="H289" s="3" t="s">
        <v>41</v>
      </c>
      <c r="I289" s="3" t="s">
        <v>17</v>
      </c>
      <c r="J289" s="3" t="s">
        <v>22</v>
      </c>
      <c r="K289" s="4">
        <v>45041</v>
      </c>
      <c r="L289" s="1">
        <v>11</v>
      </c>
      <c r="M289" s="3" t="s">
        <v>43</v>
      </c>
    </row>
    <row r="290" spans="1:13" x14ac:dyDescent="0.3">
      <c r="A290" s="3">
        <v>289</v>
      </c>
      <c r="B290" s="4">
        <v>44998</v>
      </c>
      <c r="C290" s="4" t="s">
        <v>48</v>
      </c>
      <c r="D290" s="5">
        <v>0.4597222222222222</v>
      </c>
      <c r="E290" s="3" t="s">
        <v>34</v>
      </c>
      <c r="F290" s="3" t="s">
        <v>24</v>
      </c>
      <c r="G290" s="3" t="s">
        <v>13</v>
      </c>
      <c r="H290" s="3" t="s">
        <v>16</v>
      </c>
      <c r="I290" s="3" t="s">
        <v>18</v>
      </c>
      <c r="J290" s="3" t="s">
        <v>22</v>
      </c>
      <c r="K290" s="4">
        <v>45000</v>
      </c>
      <c r="L290" s="1">
        <v>20</v>
      </c>
      <c r="M290" s="3" t="s">
        <v>25</v>
      </c>
    </row>
    <row r="291" spans="1:13" x14ac:dyDescent="0.3">
      <c r="A291" s="3">
        <v>290</v>
      </c>
      <c r="B291" s="4">
        <v>44946</v>
      </c>
      <c r="C291" s="4" t="s">
        <v>49</v>
      </c>
      <c r="D291" s="5">
        <v>0.72916666666666674</v>
      </c>
      <c r="E291" s="3" t="s">
        <v>23</v>
      </c>
      <c r="F291" s="3" t="s">
        <v>24</v>
      </c>
      <c r="G291" s="3" t="s">
        <v>38</v>
      </c>
      <c r="H291" s="3" t="s">
        <v>40</v>
      </c>
      <c r="I291" s="3" t="s">
        <v>19</v>
      </c>
      <c r="J291" s="3" t="s">
        <v>20</v>
      </c>
      <c r="K291" s="4" t="s">
        <v>42</v>
      </c>
      <c r="L291" s="1" t="s">
        <v>42</v>
      </c>
      <c r="M291" s="3" t="s">
        <v>43</v>
      </c>
    </row>
    <row r="292" spans="1:13" x14ac:dyDescent="0.3">
      <c r="A292" s="3">
        <v>291</v>
      </c>
      <c r="B292" s="4">
        <v>45603</v>
      </c>
      <c r="C292" s="4" t="s">
        <v>68</v>
      </c>
      <c r="D292" s="5">
        <v>0.13541666666666666</v>
      </c>
      <c r="E292" s="3" t="s">
        <v>35</v>
      </c>
      <c r="F292" s="3" t="s">
        <v>24</v>
      </c>
      <c r="G292" s="3" t="s">
        <v>14</v>
      </c>
      <c r="H292" s="3" t="s">
        <v>41</v>
      </c>
      <c r="I292" s="3" t="s">
        <v>17</v>
      </c>
      <c r="J292" s="3" t="s">
        <v>22</v>
      </c>
      <c r="K292" s="4">
        <v>45603</v>
      </c>
      <c r="L292" s="1">
        <v>1</v>
      </c>
      <c r="M292" s="3" t="s">
        <v>43</v>
      </c>
    </row>
    <row r="293" spans="1:13" x14ac:dyDescent="0.3">
      <c r="A293" s="3">
        <v>292</v>
      </c>
      <c r="B293" s="4">
        <v>45636</v>
      </c>
      <c r="C293" s="4" t="s">
        <v>59</v>
      </c>
      <c r="D293" s="5">
        <v>0.15694444444444444</v>
      </c>
      <c r="E293" s="3" t="s">
        <v>32</v>
      </c>
      <c r="F293" s="3" t="s">
        <v>24</v>
      </c>
      <c r="G293" s="3" t="s">
        <v>37</v>
      </c>
      <c r="H293" s="3" t="s">
        <v>41</v>
      </c>
      <c r="I293" s="3" t="s">
        <v>18</v>
      </c>
      <c r="J293" s="3" t="s">
        <v>20</v>
      </c>
      <c r="K293" s="4" t="s">
        <v>42</v>
      </c>
      <c r="L293" s="1" t="s">
        <v>42</v>
      </c>
      <c r="M293" s="3" t="s">
        <v>43</v>
      </c>
    </row>
    <row r="294" spans="1:13" x14ac:dyDescent="0.3">
      <c r="A294" s="3">
        <v>293</v>
      </c>
      <c r="B294" s="4">
        <v>45072</v>
      </c>
      <c r="C294" s="4" t="s">
        <v>54</v>
      </c>
      <c r="D294" s="5">
        <v>4.4444444444444439E-2</v>
      </c>
      <c r="E294" s="3" t="s">
        <v>36</v>
      </c>
      <c r="F294" s="3" t="s">
        <v>24</v>
      </c>
      <c r="G294" s="3" t="s">
        <v>39</v>
      </c>
      <c r="H294" s="3" t="s">
        <v>15</v>
      </c>
      <c r="I294" s="3" t="s">
        <v>18</v>
      </c>
      <c r="J294" s="3" t="s">
        <v>22</v>
      </c>
      <c r="K294" s="4">
        <v>45074</v>
      </c>
      <c r="L294" s="1">
        <v>24</v>
      </c>
      <c r="M294" s="3" t="s">
        <v>43</v>
      </c>
    </row>
    <row r="295" spans="1:13" x14ac:dyDescent="0.3">
      <c r="A295" s="3">
        <v>294</v>
      </c>
      <c r="B295" s="4">
        <v>45559</v>
      </c>
      <c r="C295" s="4" t="s">
        <v>66</v>
      </c>
      <c r="D295" s="5">
        <v>0.16597222222222222</v>
      </c>
      <c r="E295" s="3" t="s">
        <v>28</v>
      </c>
      <c r="F295" s="3" t="s">
        <v>24</v>
      </c>
      <c r="G295" s="3" t="s">
        <v>12</v>
      </c>
      <c r="H295" s="3" t="s">
        <v>15</v>
      </c>
      <c r="I295" s="3" t="s">
        <v>18</v>
      </c>
      <c r="J295" s="3" t="s">
        <v>21</v>
      </c>
      <c r="K295" s="4" t="s">
        <v>42</v>
      </c>
      <c r="L295" s="1" t="s">
        <v>42</v>
      </c>
      <c r="M295" s="3" t="s">
        <v>25</v>
      </c>
    </row>
    <row r="296" spans="1:13" x14ac:dyDescent="0.3">
      <c r="A296" s="3">
        <v>295</v>
      </c>
      <c r="B296" s="4">
        <v>45104</v>
      </c>
      <c r="C296" s="4" t="s">
        <v>50</v>
      </c>
      <c r="D296" s="5">
        <v>0.16041666666666665</v>
      </c>
      <c r="E296" s="3" t="s">
        <v>32</v>
      </c>
      <c r="F296" s="3" t="s">
        <v>24</v>
      </c>
      <c r="G296" s="3" t="s">
        <v>38</v>
      </c>
      <c r="H296" s="3" t="s">
        <v>40</v>
      </c>
      <c r="I296" s="3" t="s">
        <v>17</v>
      </c>
      <c r="J296" s="3" t="s">
        <v>20</v>
      </c>
      <c r="K296" s="4" t="s">
        <v>42</v>
      </c>
      <c r="L296" s="1" t="s">
        <v>42</v>
      </c>
      <c r="M296" s="3" t="s">
        <v>43</v>
      </c>
    </row>
    <row r="297" spans="1:13" x14ac:dyDescent="0.3">
      <c r="A297" s="3">
        <v>296</v>
      </c>
      <c r="B297" s="4">
        <v>45523</v>
      </c>
      <c r="C297" s="4" t="s">
        <v>64</v>
      </c>
      <c r="D297" s="5">
        <v>0.95555555555555549</v>
      </c>
      <c r="E297" s="3" t="s">
        <v>33</v>
      </c>
      <c r="F297" s="3" t="s">
        <v>24</v>
      </c>
      <c r="G297" s="3" t="s">
        <v>13</v>
      </c>
      <c r="H297" s="3" t="s">
        <v>41</v>
      </c>
      <c r="I297" s="3" t="s">
        <v>17</v>
      </c>
      <c r="J297" s="3" t="s">
        <v>21</v>
      </c>
      <c r="K297" s="4" t="s">
        <v>42</v>
      </c>
      <c r="L297" s="1" t="s">
        <v>42</v>
      </c>
      <c r="M297" s="3" t="s">
        <v>25</v>
      </c>
    </row>
    <row r="298" spans="1:13" x14ac:dyDescent="0.3">
      <c r="A298" s="3">
        <v>297</v>
      </c>
      <c r="B298" s="4">
        <v>45342</v>
      </c>
      <c r="C298" s="4" t="s">
        <v>63</v>
      </c>
      <c r="D298" s="5">
        <v>0.11597222222222223</v>
      </c>
      <c r="E298" s="3" t="s">
        <v>32</v>
      </c>
      <c r="F298" s="3" t="s">
        <v>24</v>
      </c>
      <c r="G298" s="3" t="s">
        <v>38</v>
      </c>
      <c r="H298" s="3" t="s">
        <v>41</v>
      </c>
      <c r="I298" s="3" t="s">
        <v>17</v>
      </c>
      <c r="J298" s="3" t="s">
        <v>20</v>
      </c>
      <c r="K298" s="4" t="s">
        <v>42</v>
      </c>
      <c r="L298" s="1" t="s">
        <v>42</v>
      </c>
      <c r="M298" s="3" t="s">
        <v>43</v>
      </c>
    </row>
    <row r="299" spans="1:13" x14ac:dyDescent="0.3">
      <c r="A299" s="3">
        <v>298</v>
      </c>
      <c r="B299" s="4">
        <v>44957</v>
      </c>
      <c r="C299" s="4" t="s">
        <v>49</v>
      </c>
      <c r="D299" s="5">
        <v>0.83819444444444446</v>
      </c>
      <c r="E299" s="3" t="s">
        <v>36</v>
      </c>
      <c r="F299" s="3" t="s">
        <v>24</v>
      </c>
      <c r="G299" s="3" t="s">
        <v>14</v>
      </c>
      <c r="H299" s="3" t="s">
        <v>15</v>
      </c>
      <c r="I299" s="3" t="s">
        <v>18</v>
      </c>
      <c r="J299" s="3" t="s">
        <v>22</v>
      </c>
      <c r="K299" s="4">
        <v>44958</v>
      </c>
      <c r="L299" s="1">
        <v>5</v>
      </c>
      <c r="M299" s="3" t="s">
        <v>43</v>
      </c>
    </row>
    <row r="300" spans="1:13" x14ac:dyDescent="0.3">
      <c r="A300" s="3">
        <v>299</v>
      </c>
      <c r="B300" s="4">
        <v>45416</v>
      </c>
      <c r="C300" s="4" t="s">
        <v>47</v>
      </c>
      <c r="D300" s="5">
        <v>0.17013888888888887</v>
      </c>
      <c r="E300" s="3" t="s">
        <v>35</v>
      </c>
      <c r="F300" s="3" t="s">
        <v>24</v>
      </c>
      <c r="G300" s="3" t="s">
        <v>13</v>
      </c>
      <c r="H300" s="3" t="s">
        <v>15</v>
      </c>
      <c r="I300" s="3" t="s">
        <v>19</v>
      </c>
      <c r="J300" s="3" t="s">
        <v>22</v>
      </c>
      <c r="K300" s="4">
        <v>45416</v>
      </c>
      <c r="L300" s="1">
        <v>8</v>
      </c>
      <c r="M300" s="3" t="s">
        <v>25</v>
      </c>
    </row>
    <row r="301" spans="1:13" x14ac:dyDescent="0.3">
      <c r="A301" s="3">
        <v>300</v>
      </c>
      <c r="B301" s="4">
        <v>45555</v>
      </c>
      <c r="C301" s="4" t="s">
        <v>66</v>
      </c>
      <c r="D301" s="5">
        <v>0.38611111111111113</v>
      </c>
      <c r="E301" s="3" t="s">
        <v>36</v>
      </c>
      <c r="F301" s="3" t="s">
        <v>24</v>
      </c>
      <c r="G301" s="3" t="s">
        <v>39</v>
      </c>
      <c r="H301" s="3" t="s">
        <v>16</v>
      </c>
      <c r="I301" s="3" t="s">
        <v>18</v>
      </c>
      <c r="J301" s="3" t="s">
        <v>22</v>
      </c>
      <c r="K301" s="4">
        <v>45556</v>
      </c>
      <c r="L301" s="1">
        <v>22</v>
      </c>
      <c r="M301" s="3" t="s">
        <v>43</v>
      </c>
    </row>
    <row r="302" spans="1:13" x14ac:dyDescent="0.3">
      <c r="A302" s="3">
        <v>301</v>
      </c>
      <c r="B302" s="4">
        <v>45406</v>
      </c>
      <c r="C302" s="4" t="s">
        <v>57</v>
      </c>
      <c r="D302" s="5">
        <v>0.30277777777777781</v>
      </c>
      <c r="E302" s="3" t="s">
        <v>36</v>
      </c>
      <c r="F302" s="3" t="s">
        <v>24</v>
      </c>
      <c r="G302" s="3" t="s">
        <v>12</v>
      </c>
      <c r="H302" s="3" t="s">
        <v>41</v>
      </c>
      <c r="I302" s="3" t="s">
        <v>18</v>
      </c>
      <c r="J302" s="3" t="s">
        <v>22</v>
      </c>
      <c r="K302" s="4">
        <v>45407</v>
      </c>
      <c r="L302" s="1">
        <v>12</v>
      </c>
      <c r="M302" s="3" t="s">
        <v>25</v>
      </c>
    </row>
    <row r="303" spans="1:13" x14ac:dyDescent="0.3">
      <c r="A303" s="3">
        <v>302</v>
      </c>
      <c r="B303" s="4">
        <v>45080</v>
      </c>
      <c r="C303" s="4" t="s">
        <v>50</v>
      </c>
      <c r="D303" s="5">
        <v>0.75069444444444444</v>
      </c>
      <c r="E303" s="3" t="s">
        <v>31</v>
      </c>
      <c r="F303" s="3" t="s">
        <v>24</v>
      </c>
      <c r="G303" s="3" t="s">
        <v>13</v>
      </c>
      <c r="H303" s="3" t="s">
        <v>15</v>
      </c>
      <c r="I303" s="3" t="s">
        <v>17</v>
      </c>
      <c r="J303" s="3" t="s">
        <v>21</v>
      </c>
      <c r="K303" s="4" t="s">
        <v>42</v>
      </c>
      <c r="L303" s="1" t="s">
        <v>42</v>
      </c>
      <c r="M303" s="3" t="s">
        <v>25</v>
      </c>
    </row>
    <row r="304" spans="1:13" x14ac:dyDescent="0.3">
      <c r="A304" s="3">
        <v>303</v>
      </c>
      <c r="B304" s="4">
        <v>45123</v>
      </c>
      <c r="C304" s="4" t="s">
        <v>53</v>
      </c>
      <c r="D304" s="5">
        <v>0.13125000000000001</v>
      </c>
      <c r="E304" s="3" t="s">
        <v>36</v>
      </c>
      <c r="F304" s="3" t="s">
        <v>24</v>
      </c>
      <c r="G304" s="3" t="s">
        <v>12</v>
      </c>
      <c r="H304" s="3" t="s">
        <v>41</v>
      </c>
      <c r="I304" s="3" t="s">
        <v>18</v>
      </c>
      <c r="J304" s="3" t="s">
        <v>22</v>
      </c>
      <c r="K304" s="4">
        <v>45124</v>
      </c>
      <c r="L304" s="1">
        <v>13</v>
      </c>
      <c r="M304" s="3" t="s">
        <v>25</v>
      </c>
    </row>
    <row r="305" spans="1:13" x14ac:dyDescent="0.3">
      <c r="A305" s="3">
        <v>304</v>
      </c>
      <c r="B305" s="4">
        <v>45222</v>
      </c>
      <c r="C305" s="4" t="s">
        <v>56</v>
      </c>
      <c r="D305" s="5">
        <v>0.10347222222222222</v>
      </c>
      <c r="E305" s="3" t="s">
        <v>31</v>
      </c>
      <c r="F305" s="3" t="s">
        <v>24</v>
      </c>
      <c r="G305" s="3" t="s">
        <v>37</v>
      </c>
      <c r="H305" s="3" t="s">
        <v>16</v>
      </c>
      <c r="I305" s="3" t="s">
        <v>18</v>
      </c>
      <c r="J305" s="3" t="s">
        <v>22</v>
      </c>
      <c r="K305" s="4">
        <v>45224</v>
      </c>
      <c r="L305" s="1">
        <v>16</v>
      </c>
      <c r="M305" s="3" t="s">
        <v>43</v>
      </c>
    </row>
    <row r="306" spans="1:13" x14ac:dyDescent="0.3">
      <c r="A306" s="3">
        <v>305</v>
      </c>
      <c r="B306" s="4">
        <v>45167</v>
      </c>
      <c r="C306" s="4" t="s">
        <v>69</v>
      </c>
      <c r="D306" s="5">
        <v>6.25E-2</v>
      </c>
      <c r="E306" s="3" t="s">
        <v>32</v>
      </c>
      <c r="F306" s="3" t="s">
        <v>24</v>
      </c>
      <c r="G306" s="3" t="s">
        <v>13</v>
      </c>
      <c r="H306" s="3" t="s">
        <v>40</v>
      </c>
      <c r="I306" s="3" t="s">
        <v>18</v>
      </c>
      <c r="J306" s="3" t="s">
        <v>20</v>
      </c>
      <c r="K306" s="4" t="s">
        <v>42</v>
      </c>
      <c r="L306" s="1" t="s">
        <v>42</v>
      </c>
      <c r="M306" s="3" t="s">
        <v>25</v>
      </c>
    </row>
    <row r="307" spans="1:13" x14ac:dyDescent="0.3">
      <c r="A307" s="3">
        <v>306</v>
      </c>
      <c r="B307" s="4">
        <v>45312</v>
      </c>
      <c r="C307" s="4" t="s">
        <v>52</v>
      </c>
      <c r="D307" s="5">
        <v>0.86250000000000004</v>
      </c>
      <c r="E307" s="3" t="s">
        <v>36</v>
      </c>
      <c r="F307" s="3" t="s">
        <v>24</v>
      </c>
      <c r="G307" s="3" t="s">
        <v>39</v>
      </c>
      <c r="H307" s="3" t="s">
        <v>41</v>
      </c>
      <c r="I307" s="3" t="s">
        <v>19</v>
      </c>
      <c r="J307" s="3" t="s">
        <v>22</v>
      </c>
      <c r="K307" s="4">
        <v>45312</v>
      </c>
      <c r="L307" s="1">
        <v>16</v>
      </c>
      <c r="M307" s="3" t="s">
        <v>43</v>
      </c>
    </row>
    <row r="308" spans="1:13" x14ac:dyDescent="0.3">
      <c r="A308" s="3">
        <v>307</v>
      </c>
      <c r="B308" s="4">
        <v>45385</v>
      </c>
      <c r="C308" s="4" t="s">
        <v>57</v>
      </c>
      <c r="D308" s="5">
        <v>0.98819444444444449</v>
      </c>
      <c r="E308" s="3" t="s">
        <v>35</v>
      </c>
      <c r="F308" s="3" t="s">
        <v>24</v>
      </c>
      <c r="G308" s="3" t="s">
        <v>38</v>
      </c>
      <c r="H308" s="3" t="s">
        <v>16</v>
      </c>
      <c r="I308" s="3" t="s">
        <v>18</v>
      </c>
      <c r="J308" s="3" t="s">
        <v>21</v>
      </c>
      <c r="K308" s="4" t="s">
        <v>42</v>
      </c>
      <c r="L308" s="1" t="s">
        <v>42</v>
      </c>
      <c r="M308" s="3" t="s">
        <v>43</v>
      </c>
    </row>
    <row r="309" spans="1:13" x14ac:dyDescent="0.3">
      <c r="A309" s="3">
        <v>308</v>
      </c>
      <c r="B309" s="4">
        <v>45315</v>
      </c>
      <c r="C309" s="4" t="s">
        <v>52</v>
      </c>
      <c r="D309" s="5">
        <v>0.37430555555555556</v>
      </c>
      <c r="E309" s="3" t="s">
        <v>29</v>
      </c>
      <c r="F309" s="3" t="s">
        <v>24</v>
      </c>
      <c r="G309" s="3" t="s">
        <v>38</v>
      </c>
      <c r="H309" s="3" t="s">
        <v>41</v>
      </c>
      <c r="I309" s="3" t="s">
        <v>18</v>
      </c>
      <c r="J309" s="3" t="s">
        <v>21</v>
      </c>
      <c r="K309" s="4" t="s">
        <v>42</v>
      </c>
      <c r="L309" s="1" t="s">
        <v>42</v>
      </c>
      <c r="M309" s="3" t="s">
        <v>43</v>
      </c>
    </row>
    <row r="310" spans="1:13" x14ac:dyDescent="0.3">
      <c r="A310" s="3">
        <v>309</v>
      </c>
      <c r="B310" s="4">
        <v>45570</v>
      </c>
      <c r="C310" s="4" t="s">
        <v>67</v>
      </c>
      <c r="D310" s="5">
        <v>0.31041666666666667</v>
      </c>
      <c r="E310" s="3" t="s">
        <v>27</v>
      </c>
      <c r="F310" s="3" t="s">
        <v>24</v>
      </c>
      <c r="G310" s="3" t="s">
        <v>39</v>
      </c>
      <c r="H310" s="3" t="s">
        <v>41</v>
      </c>
      <c r="I310" s="3" t="s">
        <v>19</v>
      </c>
      <c r="J310" s="3" t="s">
        <v>22</v>
      </c>
      <c r="K310" s="4">
        <v>45571</v>
      </c>
      <c r="L310" s="1">
        <v>22</v>
      </c>
      <c r="M310" s="3" t="s">
        <v>43</v>
      </c>
    </row>
    <row r="311" spans="1:13" x14ac:dyDescent="0.3">
      <c r="A311" s="3">
        <v>310</v>
      </c>
      <c r="B311" s="4">
        <v>45069</v>
      </c>
      <c r="C311" s="4" t="s">
        <v>54</v>
      </c>
      <c r="D311" s="5">
        <v>0.21666666666666667</v>
      </c>
      <c r="E311" s="3" t="s">
        <v>33</v>
      </c>
      <c r="F311" s="3" t="s">
        <v>24</v>
      </c>
      <c r="G311" s="3" t="s">
        <v>13</v>
      </c>
      <c r="H311" s="3" t="s">
        <v>15</v>
      </c>
      <c r="I311" s="3" t="s">
        <v>18</v>
      </c>
      <c r="J311" s="3" t="s">
        <v>21</v>
      </c>
      <c r="K311" s="4" t="s">
        <v>42</v>
      </c>
      <c r="L311" s="1" t="s">
        <v>42</v>
      </c>
      <c r="M311" s="3" t="s">
        <v>25</v>
      </c>
    </row>
    <row r="312" spans="1:13" x14ac:dyDescent="0.3">
      <c r="A312" s="3">
        <v>311</v>
      </c>
      <c r="B312" s="4">
        <v>45117</v>
      </c>
      <c r="C312" s="4" t="s">
        <v>53</v>
      </c>
      <c r="D312" s="5">
        <v>0.39097222222222222</v>
      </c>
      <c r="E312" s="3" t="s">
        <v>36</v>
      </c>
      <c r="F312" s="3" t="s">
        <v>24</v>
      </c>
      <c r="G312" s="3" t="s">
        <v>37</v>
      </c>
      <c r="H312" s="3" t="s">
        <v>40</v>
      </c>
      <c r="I312" s="3" t="s">
        <v>18</v>
      </c>
      <c r="J312" s="3" t="s">
        <v>22</v>
      </c>
      <c r="K312" s="4">
        <v>45118</v>
      </c>
      <c r="L312" s="1">
        <v>10</v>
      </c>
      <c r="M312" s="3" t="s">
        <v>43</v>
      </c>
    </row>
    <row r="313" spans="1:13" x14ac:dyDescent="0.3">
      <c r="A313" s="3">
        <v>312</v>
      </c>
      <c r="B313" s="4">
        <v>45538</v>
      </c>
      <c r="C313" s="4" t="s">
        <v>66</v>
      </c>
      <c r="D313" s="5">
        <v>0.4</v>
      </c>
      <c r="E313" s="3" t="s">
        <v>33</v>
      </c>
      <c r="F313" s="3" t="s">
        <v>24</v>
      </c>
      <c r="G313" s="3" t="s">
        <v>39</v>
      </c>
      <c r="H313" s="3" t="s">
        <v>41</v>
      </c>
      <c r="I313" s="3" t="s">
        <v>19</v>
      </c>
      <c r="J313" s="3" t="s">
        <v>22</v>
      </c>
      <c r="K313" s="4">
        <v>45540</v>
      </c>
      <c r="L313" s="1">
        <v>18</v>
      </c>
      <c r="M313" s="3" t="s">
        <v>43</v>
      </c>
    </row>
    <row r="314" spans="1:13" x14ac:dyDescent="0.3">
      <c r="A314" s="3">
        <v>313</v>
      </c>
      <c r="B314" s="4">
        <v>45548</v>
      </c>
      <c r="C314" s="4" t="s">
        <v>66</v>
      </c>
      <c r="D314" s="5">
        <v>0.92569444444444438</v>
      </c>
      <c r="E314" s="3" t="s">
        <v>32</v>
      </c>
      <c r="F314" s="3" t="s">
        <v>24</v>
      </c>
      <c r="G314" s="3" t="s">
        <v>37</v>
      </c>
      <c r="H314" s="3" t="s">
        <v>40</v>
      </c>
      <c r="I314" s="3" t="s">
        <v>19</v>
      </c>
      <c r="J314" s="3" t="s">
        <v>22</v>
      </c>
      <c r="K314" s="4">
        <v>45549</v>
      </c>
      <c r="L314" s="1">
        <v>18</v>
      </c>
      <c r="M314" s="3" t="s">
        <v>43</v>
      </c>
    </row>
    <row r="315" spans="1:13" x14ac:dyDescent="0.3">
      <c r="A315" s="3">
        <v>314</v>
      </c>
      <c r="B315" s="4">
        <v>45614</v>
      </c>
      <c r="C315" s="4" t="s">
        <v>68</v>
      </c>
      <c r="D315" s="5">
        <v>0.66666666666666663</v>
      </c>
      <c r="E315" s="3" t="s">
        <v>32</v>
      </c>
      <c r="F315" s="3" t="s">
        <v>24</v>
      </c>
      <c r="G315" s="3" t="s">
        <v>12</v>
      </c>
      <c r="H315" s="3" t="s">
        <v>15</v>
      </c>
      <c r="I315" s="3" t="s">
        <v>18</v>
      </c>
      <c r="J315" s="3" t="s">
        <v>20</v>
      </c>
      <c r="K315" s="4" t="s">
        <v>42</v>
      </c>
      <c r="L315" s="1" t="s">
        <v>42</v>
      </c>
      <c r="M315" s="3" t="s">
        <v>25</v>
      </c>
    </row>
    <row r="316" spans="1:13" x14ac:dyDescent="0.3">
      <c r="A316" s="3">
        <v>315</v>
      </c>
      <c r="B316" s="4">
        <v>45620</v>
      </c>
      <c r="C316" s="4" t="s">
        <v>68</v>
      </c>
      <c r="D316" s="5">
        <v>0.91805555555555551</v>
      </c>
      <c r="E316" s="3" t="s">
        <v>28</v>
      </c>
      <c r="F316" s="3" t="s">
        <v>24</v>
      </c>
      <c r="G316" s="3" t="s">
        <v>14</v>
      </c>
      <c r="H316" s="3" t="s">
        <v>40</v>
      </c>
      <c r="I316" s="3" t="s">
        <v>18</v>
      </c>
      <c r="J316" s="3" t="s">
        <v>22</v>
      </c>
      <c r="K316" s="4">
        <v>45620</v>
      </c>
      <c r="L316" s="1">
        <v>24</v>
      </c>
      <c r="M316" s="3" t="s">
        <v>43</v>
      </c>
    </row>
    <row r="317" spans="1:13" x14ac:dyDescent="0.3">
      <c r="A317" s="3">
        <v>316</v>
      </c>
      <c r="B317" s="4">
        <v>45088</v>
      </c>
      <c r="C317" s="4" t="s">
        <v>50</v>
      </c>
      <c r="D317" s="5">
        <v>0.53680555555555554</v>
      </c>
      <c r="E317" s="3" t="s">
        <v>29</v>
      </c>
      <c r="F317" s="3" t="s">
        <v>24</v>
      </c>
      <c r="G317" s="3" t="s">
        <v>12</v>
      </c>
      <c r="H317" s="3" t="s">
        <v>41</v>
      </c>
      <c r="I317" s="3" t="s">
        <v>19</v>
      </c>
      <c r="J317" s="3" t="s">
        <v>20</v>
      </c>
      <c r="K317" s="4" t="s">
        <v>42</v>
      </c>
      <c r="L317" s="1" t="s">
        <v>42</v>
      </c>
      <c r="M317" s="3" t="s">
        <v>25</v>
      </c>
    </row>
    <row r="318" spans="1:13" x14ac:dyDescent="0.3">
      <c r="A318" s="3">
        <v>317</v>
      </c>
      <c r="B318" s="4">
        <v>45584</v>
      </c>
      <c r="C318" s="4" t="s">
        <v>67</v>
      </c>
      <c r="D318" s="5">
        <v>0.68402777777777779</v>
      </c>
      <c r="E318" s="3" t="s">
        <v>27</v>
      </c>
      <c r="F318" s="3" t="s">
        <v>24</v>
      </c>
      <c r="G318" s="3" t="s">
        <v>38</v>
      </c>
      <c r="H318" s="3" t="s">
        <v>41</v>
      </c>
      <c r="I318" s="3" t="s">
        <v>19</v>
      </c>
      <c r="J318" s="3" t="s">
        <v>22</v>
      </c>
      <c r="K318" s="4">
        <v>45586</v>
      </c>
      <c r="L318" s="1">
        <v>7</v>
      </c>
      <c r="M318" s="3" t="s">
        <v>43</v>
      </c>
    </row>
    <row r="319" spans="1:13" x14ac:dyDescent="0.3">
      <c r="A319" s="3">
        <v>318</v>
      </c>
      <c r="B319" s="4">
        <v>45614</v>
      </c>
      <c r="C319" s="4" t="s">
        <v>68</v>
      </c>
      <c r="D319" s="5">
        <v>0.9916666666666667</v>
      </c>
      <c r="E319" s="3" t="s">
        <v>28</v>
      </c>
      <c r="F319" s="3" t="s">
        <v>24</v>
      </c>
      <c r="G319" s="3" t="s">
        <v>14</v>
      </c>
      <c r="H319" s="3" t="s">
        <v>41</v>
      </c>
      <c r="I319" s="3" t="s">
        <v>18</v>
      </c>
      <c r="J319" s="3" t="s">
        <v>22</v>
      </c>
      <c r="K319" s="4">
        <v>45615</v>
      </c>
      <c r="L319" s="1">
        <v>12</v>
      </c>
      <c r="M319" s="3" t="s">
        <v>43</v>
      </c>
    </row>
    <row r="320" spans="1:13" x14ac:dyDescent="0.3">
      <c r="A320" s="3">
        <v>319</v>
      </c>
      <c r="B320" s="4">
        <v>45052</v>
      </c>
      <c r="C320" s="4" t="s">
        <v>54</v>
      </c>
      <c r="D320" s="5">
        <v>0.95347222222222217</v>
      </c>
      <c r="E320" s="3" t="s">
        <v>28</v>
      </c>
      <c r="F320" s="3" t="s">
        <v>24</v>
      </c>
      <c r="G320" s="3" t="s">
        <v>12</v>
      </c>
      <c r="H320" s="3" t="s">
        <v>40</v>
      </c>
      <c r="I320" s="3" t="s">
        <v>19</v>
      </c>
      <c r="J320" s="3" t="s">
        <v>21</v>
      </c>
      <c r="K320" s="4" t="s">
        <v>42</v>
      </c>
      <c r="L320" s="1" t="s">
        <v>42</v>
      </c>
      <c r="M320" s="3" t="s">
        <v>25</v>
      </c>
    </row>
    <row r="321" spans="1:13" x14ac:dyDescent="0.3">
      <c r="A321" s="3">
        <v>320</v>
      </c>
      <c r="B321" s="4">
        <v>45456</v>
      </c>
      <c r="C321" s="4" t="s">
        <v>58</v>
      </c>
      <c r="D321" s="5">
        <v>0.46805555555555556</v>
      </c>
      <c r="E321" s="3" t="s">
        <v>29</v>
      </c>
      <c r="F321" s="3" t="s">
        <v>24</v>
      </c>
      <c r="G321" s="3" t="s">
        <v>13</v>
      </c>
      <c r="H321" s="3" t="s">
        <v>41</v>
      </c>
      <c r="I321" s="3" t="s">
        <v>19</v>
      </c>
      <c r="J321" s="3" t="s">
        <v>22</v>
      </c>
      <c r="K321" s="4">
        <v>45456</v>
      </c>
      <c r="L321" s="1">
        <v>3</v>
      </c>
      <c r="M321" s="3" t="s">
        <v>25</v>
      </c>
    </row>
    <row r="322" spans="1:13" x14ac:dyDescent="0.3">
      <c r="A322" s="3">
        <v>321</v>
      </c>
      <c r="B322" s="4">
        <v>45187</v>
      </c>
      <c r="C322" s="4" t="s">
        <v>51</v>
      </c>
      <c r="D322" s="5">
        <v>1.5972222222222221E-2</v>
      </c>
      <c r="E322" s="3" t="s">
        <v>28</v>
      </c>
      <c r="F322" s="3" t="s">
        <v>24</v>
      </c>
      <c r="G322" s="3" t="s">
        <v>37</v>
      </c>
      <c r="H322" s="3" t="s">
        <v>16</v>
      </c>
      <c r="I322" s="3" t="s">
        <v>17</v>
      </c>
      <c r="J322" s="3" t="s">
        <v>22</v>
      </c>
      <c r="K322" s="4">
        <v>45187</v>
      </c>
      <c r="L322" s="1">
        <v>19</v>
      </c>
      <c r="M322" s="3" t="s">
        <v>43</v>
      </c>
    </row>
    <row r="323" spans="1:13" x14ac:dyDescent="0.3">
      <c r="A323" s="3">
        <v>322</v>
      </c>
      <c r="B323" s="4">
        <v>45525</v>
      </c>
      <c r="C323" s="4" t="s">
        <v>64</v>
      </c>
      <c r="D323" s="5">
        <v>0.76458333333333328</v>
      </c>
      <c r="E323" s="3" t="s">
        <v>32</v>
      </c>
      <c r="F323" s="3" t="s">
        <v>24</v>
      </c>
      <c r="G323" s="3" t="s">
        <v>14</v>
      </c>
      <c r="H323" s="3" t="s">
        <v>16</v>
      </c>
      <c r="I323" s="3" t="s">
        <v>19</v>
      </c>
      <c r="J323" s="3" t="s">
        <v>21</v>
      </c>
      <c r="K323" s="4" t="s">
        <v>42</v>
      </c>
      <c r="L323" s="1" t="s">
        <v>42</v>
      </c>
      <c r="M323" s="3" t="s">
        <v>43</v>
      </c>
    </row>
    <row r="324" spans="1:13" x14ac:dyDescent="0.3">
      <c r="A324" s="3">
        <v>323</v>
      </c>
      <c r="B324" s="4">
        <v>45353</v>
      </c>
      <c r="C324" s="4" t="s">
        <v>62</v>
      </c>
      <c r="D324" s="5">
        <v>0.89583333333333337</v>
      </c>
      <c r="E324" s="3" t="s">
        <v>36</v>
      </c>
      <c r="F324" s="3" t="s">
        <v>24</v>
      </c>
      <c r="G324" s="3" t="s">
        <v>37</v>
      </c>
      <c r="H324" s="3" t="s">
        <v>41</v>
      </c>
      <c r="I324" s="3" t="s">
        <v>17</v>
      </c>
      <c r="J324" s="3" t="s">
        <v>22</v>
      </c>
      <c r="K324" s="4">
        <v>45353</v>
      </c>
      <c r="L324" s="1">
        <v>16</v>
      </c>
      <c r="M324" s="3" t="s">
        <v>43</v>
      </c>
    </row>
    <row r="325" spans="1:13" x14ac:dyDescent="0.3">
      <c r="A325" s="3">
        <v>324</v>
      </c>
      <c r="B325" s="4">
        <v>45645</v>
      </c>
      <c r="C325" s="4" t="s">
        <v>59</v>
      </c>
      <c r="D325" s="5">
        <v>0.51527777777777772</v>
      </c>
      <c r="E325" s="3" t="s">
        <v>32</v>
      </c>
      <c r="F325" s="3" t="s">
        <v>24</v>
      </c>
      <c r="G325" s="3" t="s">
        <v>12</v>
      </c>
      <c r="H325" s="3" t="s">
        <v>41</v>
      </c>
      <c r="I325" s="3" t="s">
        <v>17</v>
      </c>
      <c r="J325" s="3" t="s">
        <v>21</v>
      </c>
      <c r="K325" s="4" t="s">
        <v>42</v>
      </c>
      <c r="L325" s="1" t="s">
        <v>42</v>
      </c>
      <c r="M325" s="3" t="s">
        <v>25</v>
      </c>
    </row>
    <row r="326" spans="1:13" x14ac:dyDescent="0.3">
      <c r="A326" s="3">
        <v>325</v>
      </c>
      <c r="B326" s="4">
        <v>45152</v>
      </c>
      <c r="C326" s="4" t="s">
        <v>69</v>
      </c>
      <c r="D326" s="5">
        <v>0.44444444444444448</v>
      </c>
      <c r="E326" s="3" t="s">
        <v>27</v>
      </c>
      <c r="F326" s="3" t="s">
        <v>24</v>
      </c>
      <c r="G326" s="3" t="s">
        <v>38</v>
      </c>
      <c r="H326" s="3" t="s">
        <v>16</v>
      </c>
      <c r="I326" s="3" t="s">
        <v>18</v>
      </c>
      <c r="J326" s="3" t="s">
        <v>22</v>
      </c>
      <c r="K326" s="4">
        <v>45153</v>
      </c>
      <c r="L326" s="1">
        <v>2</v>
      </c>
      <c r="M326" s="3" t="s">
        <v>43</v>
      </c>
    </row>
    <row r="327" spans="1:13" x14ac:dyDescent="0.3">
      <c r="A327" s="3">
        <v>326</v>
      </c>
      <c r="B327" s="4">
        <v>45617</v>
      </c>
      <c r="C327" s="4" t="s">
        <v>68</v>
      </c>
      <c r="D327" s="5">
        <v>0.66666666666666663</v>
      </c>
      <c r="E327" s="3" t="s">
        <v>35</v>
      </c>
      <c r="F327" s="3" t="s">
        <v>24</v>
      </c>
      <c r="G327" s="3" t="s">
        <v>37</v>
      </c>
      <c r="H327" s="3" t="s">
        <v>16</v>
      </c>
      <c r="I327" s="3" t="s">
        <v>19</v>
      </c>
      <c r="J327" s="3" t="s">
        <v>22</v>
      </c>
      <c r="K327" s="4">
        <v>45619</v>
      </c>
      <c r="L327" s="1">
        <v>14</v>
      </c>
      <c r="M327" s="3" t="s">
        <v>43</v>
      </c>
    </row>
    <row r="328" spans="1:13" x14ac:dyDescent="0.3">
      <c r="A328" s="3">
        <v>327</v>
      </c>
      <c r="B328" s="4">
        <v>45618</v>
      </c>
      <c r="C328" s="4" t="s">
        <v>68</v>
      </c>
      <c r="D328" s="5">
        <v>0.9868055555555556</v>
      </c>
      <c r="E328" s="3" t="s">
        <v>29</v>
      </c>
      <c r="F328" s="3" t="s">
        <v>24</v>
      </c>
      <c r="G328" s="3" t="s">
        <v>37</v>
      </c>
      <c r="H328" s="3" t="s">
        <v>40</v>
      </c>
      <c r="I328" s="3" t="s">
        <v>18</v>
      </c>
      <c r="J328" s="3" t="s">
        <v>21</v>
      </c>
      <c r="K328" s="4" t="s">
        <v>42</v>
      </c>
      <c r="L328" s="1" t="s">
        <v>42</v>
      </c>
      <c r="M328" s="3" t="s">
        <v>43</v>
      </c>
    </row>
    <row r="329" spans="1:13" x14ac:dyDescent="0.3">
      <c r="A329" s="3">
        <v>328</v>
      </c>
      <c r="B329" s="4">
        <v>45266</v>
      </c>
      <c r="C329" s="4" t="s">
        <v>60</v>
      </c>
      <c r="D329" s="5">
        <v>0.83055555555555549</v>
      </c>
      <c r="E329" s="3" t="s">
        <v>30</v>
      </c>
      <c r="F329" s="3" t="s">
        <v>24</v>
      </c>
      <c r="G329" s="3" t="s">
        <v>38</v>
      </c>
      <c r="H329" s="3" t="s">
        <v>40</v>
      </c>
      <c r="I329" s="3" t="s">
        <v>17</v>
      </c>
      <c r="J329" s="3" t="s">
        <v>22</v>
      </c>
      <c r="K329" s="4">
        <v>45268</v>
      </c>
      <c r="L329" s="1">
        <v>21</v>
      </c>
      <c r="M329" s="3" t="s">
        <v>43</v>
      </c>
    </row>
    <row r="330" spans="1:13" x14ac:dyDescent="0.3">
      <c r="A330" s="3">
        <v>329</v>
      </c>
      <c r="B330" s="4">
        <v>45036</v>
      </c>
      <c r="C330" s="4" t="s">
        <v>55</v>
      </c>
      <c r="D330" s="5">
        <v>0.73194444444444451</v>
      </c>
      <c r="E330" s="3" t="s">
        <v>35</v>
      </c>
      <c r="F330" s="3" t="s">
        <v>24</v>
      </c>
      <c r="G330" s="3" t="s">
        <v>39</v>
      </c>
      <c r="H330" s="3" t="s">
        <v>16</v>
      </c>
      <c r="I330" s="3" t="s">
        <v>19</v>
      </c>
      <c r="J330" s="3" t="s">
        <v>22</v>
      </c>
      <c r="K330" s="4">
        <v>45037</v>
      </c>
      <c r="L330" s="1">
        <v>2</v>
      </c>
      <c r="M330" s="3" t="s">
        <v>43</v>
      </c>
    </row>
    <row r="331" spans="1:13" x14ac:dyDescent="0.3">
      <c r="A331" s="3">
        <v>330</v>
      </c>
      <c r="B331" s="4">
        <v>45273</v>
      </c>
      <c r="C331" s="4" t="s">
        <v>60</v>
      </c>
      <c r="D331" s="5">
        <v>0.10416666666666666</v>
      </c>
      <c r="E331" s="3" t="s">
        <v>27</v>
      </c>
      <c r="F331" s="3" t="s">
        <v>24</v>
      </c>
      <c r="G331" s="3" t="s">
        <v>14</v>
      </c>
      <c r="H331" s="3" t="s">
        <v>16</v>
      </c>
      <c r="I331" s="3" t="s">
        <v>19</v>
      </c>
      <c r="J331" s="3" t="s">
        <v>21</v>
      </c>
      <c r="K331" s="4" t="s">
        <v>42</v>
      </c>
      <c r="L331" s="1" t="s">
        <v>42</v>
      </c>
      <c r="M331" s="3" t="s">
        <v>43</v>
      </c>
    </row>
    <row r="332" spans="1:13" x14ac:dyDescent="0.3">
      <c r="A332" s="3">
        <v>331</v>
      </c>
      <c r="B332" s="4">
        <v>45190</v>
      </c>
      <c r="C332" s="4" t="s">
        <v>51</v>
      </c>
      <c r="D332" s="5">
        <v>0.94027777777777777</v>
      </c>
      <c r="E332" s="3" t="s">
        <v>32</v>
      </c>
      <c r="F332" s="3" t="s">
        <v>24</v>
      </c>
      <c r="G332" s="3" t="s">
        <v>37</v>
      </c>
      <c r="H332" s="3" t="s">
        <v>41</v>
      </c>
      <c r="I332" s="3" t="s">
        <v>18</v>
      </c>
      <c r="J332" s="3" t="s">
        <v>20</v>
      </c>
      <c r="K332" s="4" t="s">
        <v>42</v>
      </c>
      <c r="L332" s="1" t="s">
        <v>42</v>
      </c>
      <c r="M332" s="3" t="s">
        <v>43</v>
      </c>
    </row>
    <row r="333" spans="1:13" x14ac:dyDescent="0.3">
      <c r="A333" s="3">
        <v>332</v>
      </c>
      <c r="B333" s="4">
        <v>45656</v>
      </c>
      <c r="C333" s="4" t="s">
        <v>59</v>
      </c>
      <c r="D333" s="5">
        <v>0.59722222222222221</v>
      </c>
      <c r="E333" s="3" t="s">
        <v>32</v>
      </c>
      <c r="F333" s="3" t="s">
        <v>24</v>
      </c>
      <c r="G333" s="3" t="s">
        <v>14</v>
      </c>
      <c r="H333" s="3" t="s">
        <v>15</v>
      </c>
      <c r="I333" s="3" t="s">
        <v>19</v>
      </c>
      <c r="J333" s="3" t="s">
        <v>22</v>
      </c>
      <c r="K333" s="4">
        <v>45658</v>
      </c>
      <c r="L333" s="1">
        <v>23</v>
      </c>
      <c r="M333" s="3" t="s">
        <v>43</v>
      </c>
    </row>
    <row r="334" spans="1:13" x14ac:dyDescent="0.3">
      <c r="A334" s="3">
        <v>333</v>
      </c>
      <c r="B334" s="4">
        <v>45635</v>
      </c>
      <c r="C334" s="4" t="s">
        <v>59</v>
      </c>
      <c r="D334" s="5">
        <v>0.97916666666666674</v>
      </c>
      <c r="E334" s="3" t="s">
        <v>34</v>
      </c>
      <c r="F334" s="3" t="s">
        <v>24</v>
      </c>
      <c r="G334" s="3" t="s">
        <v>14</v>
      </c>
      <c r="H334" s="3" t="s">
        <v>15</v>
      </c>
      <c r="I334" s="3" t="s">
        <v>18</v>
      </c>
      <c r="J334" s="3" t="s">
        <v>22</v>
      </c>
      <c r="K334" s="4">
        <v>45636</v>
      </c>
      <c r="L334" s="1">
        <v>11</v>
      </c>
      <c r="M334" s="3" t="s">
        <v>43</v>
      </c>
    </row>
    <row r="335" spans="1:13" x14ac:dyDescent="0.3">
      <c r="A335" s="3">
        <v>334</v>
      </c>
      <c r="B335" s="4">
        <v>45568</v>
      </c>
      <c r="C335" s="4" t="s">
        <v>67</v>
      </c>
      <c r="D335" s="5">
        <v>0.28194444444444444</v>
      </c>
      <c r="E335" s="3" t="s">
        <v>33</v>
      </c>
      <c r="F335" s="3" t="s">
        <v>24</v>
      </c>
      <c r="G335" s="3" t="s">
        <v>14</v>
      </c>
      <c r="H335" s="3" t="s">
        <v>40</v>
      </c>
      <c r="I335" s="3" t="s">
        <v>18</v>
      </c>
      <c r="J335" s="3" t="s">
        <v>21</v>
      </c>
      <c r="K335" s="4" t="s">
        <v>42</v>
      </c>
      <c r="L335" s="1" t="s">
        <v>42</v>
      </c>
      <c r="M335" s="3" t="s">
        <v>43</v>
      </c>
    </row>
    <row r="336" spans="1:13" x14ac:dyDescent="0.3">
      <c r="A336" s="3">
        <v>335</v>
      </c>
      <c r="B336" s="4">
        <v>45143</v>
      </c>
      <c r="C336" s="4" t="s">
        <v>69</v>
      </c>
      <c r="D336" s="5">
        <v>0.24930555555555556</v>
      </c>
      <c r="E336" s="3" t="s">
        <v>32</v>
      </c>
      <c r="F336" s="3" t="s">
        <v>24</v>
      </c>
      <c r="G336" s="3" t="s">
        <v>39</v>
      </c>
      <c r="H336" s="3" t="s">
        <v>41</v>
      </c>
      <c r="I336" s="3" t="s">
        <v>17</v>
      </c>
      <c r="J336" s="3" t="s">
        <v>22</v>
      </c>
      <c r="K336" s="4">
        <v>45145</v>
      </c>
      <c r="L336" s="1">
        <v>9</v>
      </c>
      <c r="M336" s="3" t="s">
        <v>43</v>
      </c>
    </row>
    <row r="337" spans="1:13" x14ac:dyDescent="0.3">
      <c r="A337" s="3">
        <v>336</v>
      </c>
      <c r="B337" s="4">
        <v>44963</v>
      </c>
      <c r="C337" s="4" t="s">
        <v>61</v>
      </c>
      <c r="D337" s="5">
        <v>0.19166666666666665</v>
      </c>
      <c r="E337" s="3" t="s">
        <v>35</v>
      </c>
      <c r="F337" s="3" t="s">
        <v>24</v>
      </c>
      <c r="G337" s="3" t="s">
        <v>13</v>
      </c>
      <c r="H337" s="3" t="s">
        <v>15</v>
      </c>
      <c r="I337" s="3" t="s">
        <v>18</v>
      </c>
      <c r="J337" s="3" t="s">
        <v>20</v>
      </c>
      <c r="K337" s="4" t="s">
        <v>42</v>
      </c>
      <c r="L337" s="1" t="s">
        <v>42</v>
      </c>
      <c r="M337" s="3" t="s">
        <v>25</v>
      </c>
    </row>
    <row r="338" spans="1:13" x14ac:dyDescent="0.3">
      <c r="A338" s="3">
        <v>337</v>
      </c>
      <c r="B338" s="4">
        <v>45411</v>
      </c>
      <c r="C338" s="4" t="s">
        <v>57</v>
      </c>
      <c r="D338" s="5">
        <v>0.75972222222222219</v>
      </c>
      <c r="E338" s="3" t="s">
        <v>26</v>
      </c>
      <c r="F338" s="3" t="s">
        <v>24</v>
      </c>
      <c r="G338" s="3" t="s">
        <v>12</v>
      </c>
      <c r="H338" s="3" t="s">
        <v>40</v>
      </c>
      <c r="I338" s="3" t="s">
        <v>17</v>
      </c>
      <c r="J338" s="3" t="s">
        <v>22</v>
      </c>
      <c r="K338" s="4">
        <v>45413</v>
      </c>
      <c r="L338" s="1">
        <v>21</v>
      </c>
      <c r="M338" s="3" t="s">
        <v>25</v>
      </c>
    </row>
    <row r="339" spans="1:13" x14ac:dyDescent="0.3">
      <c r="A339" s="3">
        <v>338</v>
      </c>
      <c r="B339" s="4">
        <v>45549</v>
      </c>
      <c r="C339" s="4" t="s">
        <v>66</v>
      </c>
      <c r="D339" s="5">
        <v>0.17430555555555555</v>
      </c>
      <c r="E339" s="3" t="s">
        <v>29</v>
      </c>
      <c r="F339" s="3" t="s">
        <v>24</v>
      </c>
      <c r="G339" s="3" t="s">
        <v>13</v>
      </c>
      <c r="H339" s="3" t="s">
        <v>41</v>
      </c>
      <c r="I339" s="3" t="s">
        <v>18</v>
      </c>
      <c r="J339" s="3" t="s">
        <v>22</v>
      </c>
      <c r="K339" s="4">
        <v>45550</v>
      </c>
      <c r="L339" s="1">
        <v>9</v>
      </c>
      <c r="M339" s="3" t="s">
        <v>25</v>
      </c>
    </row>
    <row r="340" spans="1:13" x14ac:dyDescent="0.3">
      <c r="A340" s="3">
        <v>339</v>
      </c>
      <c r="B340" s="4">
        <v>45368</v>
      </c>
      <c r="C340" s="4" t="s">
        <v>62</v>
      </c>
      <c r="D340" s="5">
        <v>0.75347222222222221</v>
      </c>
      <c r="E340" s="3" t="s">
        <v>33</v>
      </c>
      <c r="F340" s="3" t="s">
        <v>24</v>
      </c>
      <c r="G340" s="3" t="s">
        <v>12</v>
      </c>
      <c r="H340" s="3" t="s">
        <v>41</v>
      </c>
      <c r="I340" s="3" t="s">
        <v>18</v>
      </c>
      <c r="J340" s="3" t="s">
        <v>20</v>
      </c>
      <c r="K340" s="4" t="s">
        <v>42</v>
      </c>
      <c r="L340" s="1" t="s">
        <v>42</v>
      </c>
      <c r="M340" s="3" t="s">
        <v>25</v>
      </c>
    </row>
    <row r="341" spans="1:13" x14ac:dyDescent="0.3">
      <c r="A341" s="3">
        <v>340</v>
      </c>
      <c r="B341" s="4">
        <v>45133</v>
      </c>
      <c r="C341" s="4" t="s">
        <v>53</v>
      </c>
      <c r="D341" s="5">
        <v>0.23402777777777778</v>
      </c>
      <c r="E341" s="3" t="s">
        <v>30</v>
      </c>
      <c r="F341" s="3" t="s">
        <v>24</v>
      </c>
      <c r="G341" s="3" t="s">
        <v>13</v>
      </c>
      <c r="H341" s="3" t="s">
        <v>40</v>
      </c>
      <c r="I341" s="3" t="s">
        <v>19</v>
      </c>
      <c r="J341" s="3" t="s">
        <v>21</v>
      </c>
      <c r="K341" s="4" t="s">
        <v>42</v>
      </c>
      <c r="L341" s="1" t="s">
        <v>42</v>
      </c>
      <c r="M341" s="3" t="s">
        <v>25</v>
      </c>
    </row>
    <row r="342" spans="1:13" x14ac:dyDescent="0.3">
      <c r="A342" s="3">
        <v>341</v>
      </c>
      <c r="B342" s="4">
        <v>44932</v>
      </c>
      <c r="C342" s="4" t="s">
        <v>49</v>
      </c>
      <c r="D342" s="5">
        <v>0.65625</v>
      </c>
      <c r="E342" s="3" t="s">
        <v>36</v>
      </c>
      <c r="F342" s="3" t="s">
        <v>24</v>
      </c>
      <c r="G342" s="3" t="s">
        <v>13</v>
      </c>
      <c r="H342" s="3" t="s">
        <v>41</v>
      </c>
      <c r="I342" s="3" t="s">
        <v>17</v>
      </c>
      <c r="J342" s="3" t="s">
        <v>22</v>
      </c>
      <c r="K342" s="4">
        <v>44933</v>
      </c>
      <c r="L342" s="1">
        <v>1</v>
      </c>
      <c r="M342" s="3" t="s">
        <v>25</v>
      </c>
    </row>
    <row r="343" spans="1:13" x14ac:dyDescent="0.3">
      <c r="A343" s="3">
        <v>342</v>
      </c>
      <c r="B343" s="4">
        <v>45627</v>
      </c>
      <c r="C343" s="4" t="s">
        <v>59</v>
      </c>
      <c r="D343" s="5">
        <v>0.29583333333333334</v>
      </c>
      <c r="E343" s="3" t="s">
        <v>28</v>
      </c>
      <c r="F343" s="3" t="s">
        <v>24</v>
      </c>
      <c r="G343" s="3" t="s">
        <v>37</v>
      </c>
      <c r="H343" s="3" t="s">
        <v>40</v>
      </c>
      <c r="I343" s="3" t="s">
        <v>18</v>
      </c>
      <c r="J343" s="3" t="s">
        <v>22</v>
      </c>
      <c r="K343" s="4">
        <v>45628</v>
      </c>
      <c r="L343" s="1">
        <v>10</v>
      </c>
      <c r="M343" s="3" t="s">
        <v>43</v>
      </c>
    </row>
    <row r="344" spans="1:13" x14ac:dyDescent="0.3">
      <c r="A344" s="3">
        <v>343</v>
      </c>
      <c r="B344" s="4">
        <v>45213</v>
      </c>
      <c r="C344" s="4" t="s">
        <v>56</v>
      </c>
      <c r="D344" s="5">
        <v>0.85694444444444451</v>
      </c>
      <c r="E344" s="3" t="s">
        <v>34</v>
      </c>
      <c r="F344" s="3" t="s">
        <v>24</v>
      </c>
      <c r="G344" s="3" t="s">
        <v>39</v>
      </c>
      <c r="H344" s="3" t="s">
        <v>41</v>
      </c>
      <c r="I344" s="3" t="s">
        <v>18</v>
      </c>
      <c r="J344" s="3" t="s">
        <v>20</v>
      </c>
      <c r="K344" s="4" t="s">
        <v>42</v>
      </c>
      <c r="L344" s="1" t="s">
        <v>42</v>
      </c>
      <c r="M344" s="3" t="s">
        <v>43</v>
      </c>
    </row>
    <row r="345" spans="1:13" x14ac:dyDescent="0.3">
      <c r="A345" s="3">
        <v>344</v>
      </c>
      <c r="B345" s="4">
        <v>45169</v>
      </c>
      <c r="C345" s="4" t="s">
        <v>69</v>
      </c>
      <c r="D345" s="5">
        <v>0.15486111111111112</v>
      </c>
      <c r="E345" s="3" t="s">
        <v>26</v>
      </c>
      <c r="F345" s="3" t="s">
        <v>24</v>
      </c>
      <c r="G345" s="3" t="s">
        <v>38</v>
      </c>
      <c r="H345" s="3" t="s">
        <v>40</v>
      </c>
      <c r="I345" s="3" t="s">
        <v>17</v>
      </c>
      <c r="J345" s="3" t="s">
        <v>22</v>
      </c>
      <c r="K345" s="4">
        <v>45170</v>
      </c>
      <c r="L345" s="1">
        <v>1</v>
      </c>
      <c r="M345" s="3" t="s">
        <v>43</v>
      </c>
    </row>
    <row r="346" spans="1:13" x14ac:dyDescent="0.3">
      <c r="A346" s="3">
        <v>345</v>
      </c>
      <c r="B346" s="4">
        <v>45545</v>
      </c>
      <c r="C346" s="4" t="s">
        <v>66</v>
      </c>
      <c r="D346" s="5">
        <v>0.5625</v>
      </c>
      <c r="E346" s="3" t="s">
        <v>33</v>
      </c>
      <c r="F346" s="3" t="s">
        <v>24</v>
      </c>
      <c r="G346" s="3" t="s">
        <v>38</v>
      </c>
      <c r="H346" s="3" t="s">
        <v>15</v>
      </c>
      <c r="I346" s="3" t="s">
        <v>18</v>
      </c>
      <c r="J346" s="3" t="s">
        <v>20</v>
      </c>
      <c r="K346" s="4" t="s">
        <v>42</v>
      </c>
      <c r="L346" s="1" t="s">
        <v>42</v>
      </c>
      <c r="M346" s="3" t="s">
        <v>43</v>
      </c>
    </row>
    <row r="347" spans="1:13" x14ac:dyDescent="0.3">
      <c r="A347" s="3">
        <v>346</v>
      </c>
      <c r="B347" s="4">
        <v>45101</v>
      </c>
      <c r="C347" s="4" t="s">
        <v>50</v>
      </c>
      <c r="D347" s="5">
        <v>0.72291666666666665</v>
      </c>
      <c r="E347" s="3" t="s">
        <v>31</v>
      </c>
      <c r="F347" s="3" t="s">
        <v>24</v>
      </c>
      <c r="G347" s="3" t="s">
        <v>14</v>
      </c>
      <c r="H347" s="3" t="s">
        <v>40</v>
      </c>
      <c r="I347" s="3" t="s">
        <v>19</v>
      </c>
      <c r="J347" s="3" t="s">
        <v>20</v>
      </c>
      <c r="K347" s="4" t="s">
        <v>42</v>
      </c>
      <c r="L347" s="1" t="s">
        <v>42</v>
      </c>
      <c r="M347" s="3" t="s">
        <v>43</v>
      </c>
    </row>
    <row r="348" spans="1:13" x14ac:dyDescent="0.3">
      <c r="A348" s="3">
        <v>347</v>
      </c>
      <c r="B348" s="4">
        <v>44993</v>
      </c>
      <c r="C348" s="4" t="s">
        <v>48</v>
      </c>
      <c r="D348" s="5">
        <v>0.73541666666666672</v>
      </c>
      <c r="E348" s="3" t="s">
        <v>34</v>
      </c>
      <c r="F348" s="3" t="s">
        <v>24</v>
      </c>
      <c r="G348" s="3" t="s">
        <v>13</v>
      </c>
      <c r="H348" s="3" t="s">
        <v>16</v>
      </c>
      <c r="I348" s="3" t="s">
        <v>19</v>
      </c>
      <c r="J348" s="3" t="s">
        <v>22</v>
      </c>
      <c r="K348" s="4">
        <v>44995</v>
      </c>
      <c r="L348" s="1">
        <v>3</v>
      </c>
      <c r="M348" s="3" t="s">
        <v>25</v>
      </c>
    </row>
    <row r="349" spans="1:13" x14ac:dyDescent="0.3">
      <c r="A349" s="3">
        <v>348</v>
      </c>
      <c r="B349" s="4">
        <v>45299</v>
      </c>
      <c r="C349" s="4" t="s">
        <v>52</v>
      </c>
      <c r="D349" s="5">
        <v>0.49722222222222223</v>
      </c>
      <c r="E349" s="3" t="s">
        <v>27</v>
      </c>
      <c r="F349" s="3" t="s">
        <v>24</v>
      </c>
      <c r="G349" s="3" t="s">
        <v>38</v>
      </c>
      <c r="H349" s="3" t="s">
        <v>40</v>
      </c>
      <c r="I349" s="3" t="s">
        <v>19</v>
      </c>
      <c r="J349" s="3" t="s">
        <v>20</v>
      </c>
      <c r="K349" s="4" t="s">
        <v>42</v>
      </c>
      <c r="L349" s="1" t="s">
        <v>42</v>
      </c>
      <c r="M349" s="3" t="s">
        <v>43</v>
      </c>
    </row>
    <row r="350" spans="1:13" x14ac:dyDescent="0.3">
      <c r="A350" s="3">
        <v>349</v>
      </c>
      <c r="B350" s="4">
        <v>45483</v>
      </c>
      <c r="C350" s="4" t="s">
        <v>65</v>
      </c>
      <c r="D350" s="5">
        <v>1.8749999999999999E-2</v>
      </c>
      <c r="E350" s="3" t="s">
        <v>36</v>
      </c>
      <c r="F350" s="3" t="s">
        <v>24</v>
      </c>
      <c r="G350" s="3" t="s">
        <v>14</v>
      </c>
      <c r="H350" s="3" t="s">
        <v>15</v>
      </c>
      <c r="I350" s="3" t="s">
        <v>18</v>
      </c>
      <c r="J350" s="3" t="s">
        <v>22</v>
      </c>
      <c r="K350" s="4">
        <v>45485</v>
      </c>
      <c r="L350" s="1">
        <v>20</v>
      </c>
      <c r="M350" s="3" t="s">
        <v>43</v>
      </c>
    </row>
    <row r="351" spans="1:13" x14ac:dyDescent="0.3">
      <c r="A351" s="3">
        <v>350</v>
      </c>
      <c r="B351" s="4">
        <v>45549</v>
      </c>
      <c r="C351" s="4" t="s">
        <v>66</v>
      </c>
      <c r="D351" s="5">
        <v>0.88263888888888886</v>
      </c>
      <c r="E351" s="3" t="s">
        <v>30</v>
      </c>
      <c r="F351" s="3" t="s">
        <v>24</v>
      </c>
      <c r="G351" s="3" t="s">
        <v>12</v>
      </c>
      <c r="H351" s="3" t="s">
        <v>16</v>
      </c>
      <c r="I351" s="3" t="s">
        <v>17</v>
      </c>
      <c r="J351" s="3" t="s">
        <v>22</v>
      </c>
      <c r="K351" s="4">
        <v>45551</v>
      </c>
      <c r="L351" s="1">
        <v>15</v>
      </c>
      <c r="M351" s="3" t="s">
        <v>25</v>
      </c>
    </row>
    <row r="352" spans="1:13" x14ac:dyDescent="0.3">
      <c r="A352" s="3">
        <v>351</v>
      </c>
      <c r="B352" s="4">
        <v>45544</v>
      </c>
      <c r="C352" s="4" t="s">
        <v>66</v>
      </c>
      <c r="D352" s="5">
        <v>0.80416666666666659</v>
      </c>
      <c r="E352" s="3" t="s">
        <v>23</v>
      </c>
      <c r="F352" s="3" t="s">
        <v>24</v>
      </c>
      <c r="G352" s="3" t="s">
        <v>14</v>
      </c>
      <c r="H352" s="3" t="s">
        <v>15</v>
      </c>
      <c r="I352" s="3" t="s">
        <v>19</v>
      </c>
      <c r="J352" s="3" t="s">
        <v>22</v>
      </c>
      <c r="K352" s="4">
        <v>45545</v>
      </c>
      <c r="L352" s="1">
        <v>6</v>
      </c>
      <c r="M352" s="3" t="s">
        <v>43</v>
      </c>
    </row>
    <row r="353" spans="1:13" x14ac:dyDescent="0.3">
      <c r="A353" s="3">
        <v>352</v>
      </c>
      <c r="B353" s="4">
        <v>45178</v>
      </c>
      <c r="C353" s="4" t="s">
        <v>51</v>
      </c>
      <c r="D353" s="5">
        <v>3.4722222222222224E-2</v>
      </c>
      <c r="E353" s="3" t="s">
        <v>32</v>
      </c>
      <c r="F353" s="3" t="s">
        <v>24</v>
      </c>
      <c r="G353" s="3" t="s">
        <v>38</v>
      </c>
      <c r="H353" s="3" t="s">
        <v>15</v>
      </c>
      <c r="I353" s="3" t="s">
        <v>18</v>
      </c>
      <c r="J353" s="3" t="s">
        <v>21</v>
      </c>
      <c r="K353" s="4" t="s">
        <v>42</v>
      </c>
      <c r="L353" s="1" t="s">
        <v>42</v>
      </c>
      <c r="M353" s="3" t="s">
        <v>43</v>
      </c>
    </row>
    <row r="354" spans="1:13" x14ac:dyDescent="0.3">
      <c r="A354" s="3">
        <v>353</v>
      </c>
      <c r="B354" s="4">
        <v>45274</v>
      </c>
      <c r="C354" s="4" t="s">
        <v>60</v>
      </c>
      <c r="D354" s="5">
        <v>0.51527777777777772</v>
      </c>
      <c r="E354" s="3" t="s">
        <v>27</v>
      </c>
      <c r="F354" s="3" t="s">
        <v>24</v>
      </c>
      <c r="G354" s="3" t="s">
        <v>12</v>
      </c>
      <c r="H354" s="3" t="s">
        <v>40</v>
      </c>
      <c r="I354" s="3" t="s">
        <v>17</v>
      </c>
      <c r="J354" s="3" t="s">
        <v>22</v>
      </c>
      <c r="K354" s="4">
        <v>45275</v>
      </c>
      <c r="L354" s="1">
        <v>21</v>
      </c>
      <c r="M354" s="3" t="s">
        <v>25</v>
      </c>
    </row>
    <row r="355" spans="1:13" x14ac:dyDescent="0.3">
      <c r="A355" s="3">
        <v>354</v>
      </c>
      <c r="B355" s="4">
        <v>45278</v>
      </c>
      <c r="C355" s="4" t="s">
        <v>60</v>
      </c>
      <c r="D355" s="5">
        <v>0.35138888888888886</v>
      </c>
      <c r="E355" s="3" t="s">
        <v>26</v>
      </c>
      <c r="F355" s="3" t="s">
        <v>24</v>
      </c>
      <c r="G355" s="3" t="s">
        <v>37</v>
      </c>
      <c r="H355" s="3" t="s">
        <v>15</v>
      </c>
      <c r="I355" s="3" t="s">
        <v>18</v>
      </c>
      <c r="J355" s="3" t="s">
        <v>22</v>
      </c>
      <c r="K355" s="4">
        <v>45278</v>
      </c>
      <c r="L355" s="1">
        <v>7</v>
      </c>
      <c r="M355" s="3" t="s">
        <v>43</v>
      </c>
    </row>
    <row r="356" spans="1:13" x14ac:dyDescent="0.3">
      <c r="A356" s="3">
        <v>355</v>
      </c>
      <c r="B356" s="4">
        <v>45227</v>
      </c>
      <c r="C356" s="4" t="s">
        <v>56</v>
      </c>
      <c r="D356" s="5">
        <v>0.48541666666666666</v>
      </c>
      <c r="E356" s="3" t="s">
        <v>33</v>
      </c>
      <c r="F356" s="3" t="s">
        <v>24</v>
      </c>
      <c r="G356" s="3" t="s">
        <v>38</v>
      </c>
      <c r="H356" s="3" t="s">
        <v>16</v>
      </c>
      <c r="I356" s="3" t="s">
        <v>17</v>
      </c>
      <c r="J356" s="3" t="s">
        <v>21</v>
      </c>
      <c r="K356" s="4" t="s">
        <v>42</v>
      </c>
      <c r="L356" s="1" t="s">
        <v>42</v>
      </c>
      <c r="M356" s="3" t="s">
        <v>43</v>
      </c>
    </row>
    <row r="357" spans="1:13" x14ac:dyDescent="0.3">
      <c r="A357" s="3">
        <v>356</v>
      </c>
      <c r="B357" s="4">
        <v>45329</v>
      </c>
      <c r="C357" s="4" t="s">
        <v>63</v>
      </c>
      <c r="D357" s="5">
        <v>0.72083333333333333</v>
      </c>
      <c r="E357" s="3" t="s">
        <v>29</v>
      </c>
      <c r="F357" s="3" t="s">
        <v>24</v>
      </c>
      <c r="G357" s="3" t="s">
        <v>12</v>
      </c>
      <c r="H357" s="3" t="s">
        <v>40</v>
      </c>
      <c r="I357" s="3" t="s">
        <v>17</v>
      </c>
      <c r="J357" s="3" t="s">
        <v>20</v>
      </c>
      <c r="K357" s="4" t="s">
        <v>42</v>
      </c>
      <c r="L357" s="1" t="s">
        <v>42</v>
      </c>
      <c r="M357" s="3" t="s">
        <v>25</v>
      </c>
    </row>
    <row r="358" spans="1:13" x14ac:dyDescent="0.3">
      <c r="A358" s="3">
        <v>357</v>
      </c>
      <c r="B358" s="4">
        <v>45021</v>
      </c>
      <c r="C358" s="4" t="s">
        <v>55</v>
      </c>
      <c r="D358" s="5">
        <v>0.50486111111111109</v>
      </c>
      <c r="E358" s="3" t="s">
        <v>33</v>
      </c>
      <c r="F358" s="3" t="s">
        <v>24</v>
      </c>
      <c r="G358" s="3" t="s">
        <v>13</v>
      </c>
      <c r="H358" s="3" t="s">
        <v>41</v>
      </c>
      <c r="I358" s="3" t="s">
        <v>19</v>
      </c>
      <c r="J358" s="3" t="s">
        <v>21</v>
      </c>
      <c r="K358" s="4" t="s">
        <v>42</v>
      </c>
      <c r="L358" s="1" t="s">
        <v>42</v>
      </c>
      <c r="M358" s="3" t="s">
        <v>25</v>
      </c>
    </row>
    <row r="359" spans="1:13" x14ac:dyDescent="0.3">
      <c r="A359" s="3">
        <v>358</v>
      </c>
      <c r="B359" s="4">
        <v>45261</v>
      </c>
      <c r="C359" s="4" t="s">
        <v>60</v>
      </c>
      <c r="D359" s="5">
        <v>0.77013888888888893</v>
      </c>
      <c r="E359" s="3" t="s">
        <v>29</v>
      </c>
      <c r="F359" s="3" t="s">
        <v>24</v>
      </c>
      <c r="G359" s="3" t="s">
        <v>37</v>
      </c>
      <c r="H359" s="3" t="s">
        <v>15</v>
      </c>
      <c r="I359" s="3" t="s">
        <v>18</v>
      </c>
      <c r="J359" s="3" t="s">
        <v>22</v>
      </c>
      <c r="K359" s="4">
        <v>45261</v>
      </c>
      <c r="L359" s="1">
        <v>10</v>
      </c>
      <c r="M359" s="3" t="s">
        <v>43</v>
      </c>
    </row>
    <row r="360" spans="1:13" x14ac:dyDescent="0.3">
      <c r="A360" s="3">
        <v>359</v>
      </c>
      <c r="B360" s="4">
        <v>45018</v>
      </c>
      <c r="C360" s="4" t="s">
        <v>55</v>
      </c>
      <c r="D360" s="5">
        <v>0.44861111111111113</v>
      </c>
      <c r="E360" s="3" t="s">
        <v>31</v>
      </c>
      <c r="F360" s="3" t="s">
        <v>24</v>
      </c>
      <c r="G360" s="3" t="s">
        <v>38</v>
      </c>
      <c r="H360" s="3" t="s">
        <v>16</v>
      </c>
      <c r="I360" s="3" t="s">
        <v>19</v>
      </c>
      <c r="J360" s="3" t="s">
        <v>20</v>
      </c>
      <c r="K360" s="4" t="s">
        <v>42</v>
      </c>
      <c r="L360" s="1" t="s">
        <v>42</v>
      </c>
      <c r="M360" s="3" t="s">
        <v>43</v>
      </c>
    </row>
    <row r="361" spans="1:13" x14ac:dyDescent="0.3">
      <c r="A361" s="3">
        <v>360</v>
      </c>
      <c r="B361" s="4">
        <v>44949</v>
      </c>
      <c r="C361" s="4" t="s">
        <v>49</v>
      </c>
      <c r="D361" s="5">
        <v>0.20347222222222222</v>
      </c>
      <c r="E361" s="3" t="s">
        <v>34</v>
      </c>
      <c r="F361" s="3" t="s">
        <v>24</v>
      </c>
      <c r="G361" s="3" t="s">
        <v>38</v>
      </c>
      <c r="H361" s="3" t="s">
        <v>40</v>
      </c>
      <c r="I361" s="3" t="s">
        <v>18</v>
      </c>
      <c r="J361" s="3" t="s">
        <v>21</v>
      </c>
      <c r="K361" s="4" t="s">
        <v>42</v>
      </c>
      <c r="L361" s="1" t="s">
        <v>42</v>
      </c>
      <c r="M361" s="3" t="s">
        <v>43</v>
      </c>
    </row>
    <row r="362" spans="1:13" x14ac:dyDescent="0.3">
      <c r="A362" s="3">
        <v>361</v>
      </c>
      <c r="B362" s="4">
        <v>45165</v>
      </c>
      <c r="C362" s="4" t="s">
        <v>69</v>
      </c>
      <c r="D362" s="5">
        <v>0.57986111111111105</v>
      </c>
      <c r="E362" s="3" t="s">
        <v>35</v>
      </c>
      <c r="F362" s="3" t="s">
        <v>24</v>
      </c>
      <c r="G362" s="3" t="s">
        <v>13</v>
      </c>
      <c r="H362" s="3" t="s">
        <v>40</v>
      </c>
      <c r="I362" s="3" t="s">
        <v>19</v>
      </c>
      <c r="J362" s="3" t="s">
        <v>22</v>
      </c>
      <c r="K362" s="4">
        <v>45166</v>
      </c>
      <c r="L362" s="1">
        <v>24</v>
      </c>
      <c r="M362" s="3" t="s">
        <v>25</v>
      </c>
    </row>
    <row r="363" spans="1:13" x14ac:dyDescent="0.3">
      <c r="A363" s="3">
        <v>362</v>
      </c>
      <c r="B363" s="4">
        <v>45078</v>
      </c>
      <c r="C363" s="4" t="s">
        <v>50</v>
      </c>
      <c r="D363" s="5">
        <v>0.85694444444444451</v>
      </c>
      <c r="E363" s="3" t="s">
        <v>34</v>
      </c>
      <c r="F363" s="3" t="s">
        <v>24</v>
      </c>
      <c r="G363" s="3" t="s">
        <v>37</v>
      </c>
      <c r="H363" s="3" t="s">
        <v>15</v>
      </c>
      <c r="I363" s="3" t="s">
        <v>18</v>
      </c>
      <c r="J363" s="3" t="s">
        <v>22</v>
      </c>
      <c r="K363" s="4">
        <v>45080</v>
      </c>
      <c r="L363" s="1">
        <v>5</v>
      </c>
      <c r="M363" s="3" t="s">
        <v>43</v>
      </c>
    </row>
    <row r="364" spans="1:13" x14ac:dyDescent="0.3">
      <c r="A364" s="3">
        <v>363</v>
      </c>
      <c r="B364" s="4">
        <v>45186</v>
      </c>
      <c r="C364" s="4" t="s">
        <v>51</v>
      </c>
      <c r="D364" s="5">
        <v>0.46041666666666664</v>
      </c>
      <c r="E364" s="3" t="s">
        <v>36</v>
      </c>
      <c r="F364" s="3" t="s">
        <v>24</v>
      </c>
      <c r="G364" s="3" t="s">
        <v>13</v>
      </c>
      <c r="H364" s="3" t="s">
        <v>15</v>
      </c>
      <c r="I364" s="3" t="s">
        <v>19</v>
      </c>
      <c r="J364" s="3" t="s">
        <v>22</v>
      </c>
      <c r="K364" s="4">
        <v>45187</v>
      </c>
      <c r="L364" s="1">
        <v>4</v>
      </c>
      <c r="M364" s="3" t="s">
        <v>25</v>
      </c>
    </row>
    <row r="365" spans="1:13" x14ac:dyDescent="0.3">
      <c r="A365" s="3">
        <v>364</v>
      </c>
      <c r="B365" s="4">
        <v>45573</v>
      </c>
      <c r="C365" s="4" t="s">
        <v>67</v>
      </c>
      <c r="D365" s="5">
        <v>0.98819444444444449</v>
      </c>
      <c r="E365" s="3" t="s">
        <v>34</v>
      </c>
      <c r="F365" s="3" t="s">
        <v>24</v>
      </c>
      <c r="G365" s="3" t="s">
        <v>37</v>
      </c>
      <c r="H365" s="3" t="s">
        <v>16</v>
      </c>
      <c r="I365" s="3" t="s">
        <v>17</v>
      </c>
      <c r="J365" s="3" t="s">
        <v>20</v>
      </c>
      <c r="K365" s="4" t="s">
        <v>42</v>
      </c>
      <c r="L365" s="1" t="s">
        <v>42</v>
      </c>
      <c r="M365" s="3" t="s">
        <v>43</v>
      </c>
    </row>
    <row r="366" spans="1:13" x14ac:dyDescent="0.3">
      <c r="A366" s="3">
        <v>365</v>
      </c>
      <c r="B366" s="4">
        <v>45298</v>
      </c>
      <c r="C366" s="4" t="s">
        <v>52</v>
      </c>
      <c r="D366" s="5">
        <v>0.63472222222222219</v>
      </c>
      <c r="E366" s="3" t="s">
        <v>33</v>
      </c>
      <c r="F366" s="3" t="s">
        <v>24</v>
      </c>
      <c r="G366" s="3" t="s">
        <v>37</v>
      </c>
      <c r="H366" s="3" t="s">
        <v>16</v>
      </c>
      <c r="I366" s="3" t="s">
        <v>18</v>
      </c>
      <c r="J366" s="3" t="s">
        <v>22</v>
      </c>
      <c r="K366" s="4">
        <v>45300</v>
      </c>
      <c r="L366" s="1">
        <v>14</v>
      </c>
      <c r="M366" s="3" t="s">
        <v>43</v>
      </c>
    </row>
    <row r="367" spans="1:13" x14ac:dyDescent="0.3">
      <c r="A367" s="3">
        <v>366</v>
      </c>
      <c r="B367" s="4">
        <v>45041</v>
      </c>
      <c r="C367" s="4" t="s">
        <v>55</v>
      </c>
      <c r="D367" s="5">
        <v>0.44791666666666669</v>
      </c>
      <c r="E367" s="3" t="s">
        <v>26</v>
      </c>
      <c r="F367" s="3" t="s">
        <v>24</v>
      </c>
      <c r="G367" s="3" t="s">
        <v>13</v>
      </c>
      <c r="H367" s="3" t="s">
        <v>15</v>
      </c>
      <c r="I367" s="3" t="s">
        <v>17</v>
      </c>
      <c r="J367" s="3" t="s">
        <v>20</v>
      </c>
      <c r="K367" s="4" t="s">
        <v>42</v>
      </c>
      <c r="L367" s="1" t="s">
        <v>42</v>
      </c>
      <c r="M367" s="3" t="s">
        <v>25</v>
      </c>
    </row>
    <row r="368" spans="1:13" x14ac:dyDescent="0.3">
      <c r="A368" s="3">
        <v>367</v>
      </c>
      <c r="B368" s="4">
        <v>45359</v>
      </c>
      <c r="C368" s="4" t="s">
        <v>62</v>
      </c>
      <c r="D368" s="5">
        <v>0.57916666666666661</v>
      </c>
      <c r="E368" s="3" t="s">
        <v>32</v>
      </c>
      <c r="F368" s="3" t="s">
        <v>24</v>
      </c>
      <c r="G368" s="3" t="s">
        <v>38</v>
      </c>
      <c r="H368" s="3" t="s">
        <v>15</v>
      </c>
      <c r="I368" s="3" t="s">
        <v>18</v>
      </c>
      <c r="J368" s="3" t="s">
        <v>21</v>
      </c>
      <c r="K368" s="4" t="s">
        <v>42</v>
      </c>
      <c r="L368" s="1" t="s">
        <v>42</v>
      </c>
      <c r="M368" s="3" t="s">
        <v>43</v>
      </c>
    </row>
    <row r="369" spans="1:13" x14ac:dyDescent="0.3">
      <c r="A369" s="3">
        <v>368</v>
      </c>
      <c r="B369" s="4">
        <v>45630</v>
      </c>
      <c r="C369" s="4" t="s">
        <v>59</v>
      </c>
      <c r="D369" s="5">
        <v>6.1805555555555558E-2</v>
      </c>
      <c r="E369" s="3" t="s">
        <v>29</v>
      </c>
      <c r="F369" s="3" t="s">
        <v>24</v>
      </c>
      <c r="G369" s="3" t="s">
        <v>12</v>
      </c>
      <c r="H369" s="3" t="s">
        <v>16</v>
      </c>
      <c r="I369" s="3" t="s">
        <v>18</v>
      </c>
      <c r="J369" s="3" t="s">
        <v>21</v>
      </c>
      <c r="K369" s="4" t="s">
        <v>42</v>
      </c>
      <c r="L369" s="1" t="s">
        <v>42</v>
      </c>
      <c r="M369" s="3" t="s">
        <v>25</v>
      </c>
    </row>
    <row r="370" spans="1:13" x14ac:dyDescent="0.3">
      <c r="A370" s="3">
        <v>369</v>
      </c>
      <c r="B370" s="4">
        <v>45022</v>
      </c>
      <c r="C370" s="4" t="s">
        <v>55</v>
      </c>
      <c r="D370" s="5">
        <v>0.81319444444444444</v>
      </c>
      <c r="E370" s="3" t="s">
        <v>29</v>
      </c>
      <c r="F370" s="3" t="s">
        <v>24</v>
      </c>
      <c r="G370" s="3" t="s">
        <v>14</v>
      </c>
      <c r="H370" s="3" t="s">
        <v>40</v>
      </c>
      <c r="I370" s="3" t="s">
        <v>18</v>
      </c>
      <c r="J370" s="3" t="s">
        <v>22</v>
      </c>
      <c r="K370" s="4">
        <v>45024</v>
      </c>
      <c r="L370" s="1">
        <v>1</v>
      </c>
      <c r="M370" s="3" t="s">
        <v>43</v>
      </c>
    </row>
    <row r="371" spans="1:13" x14ac:dyDescent="0.3">
      <c r="A371" s="3">
        <v>370</v>
      </c>
      <c r="B371" s="4">
        <v>45368</v>
      </c>
      <c r="C371" s="4" t="s">
        <v>62</v>
      </c>
      <c r="D371" s="5">
        <v>0.30000000000000004</v>
      </c>
      <c r="E371" s="3" t="s">
        <v>32</v>
      </c>
      <c r="F371" s="3" t="s">
        <v>24</v>
      </c>
      <c r="G371" s="3" t="s">
        <v>37</v>
      </c>
      <c r="H371" s="3" t="s">
        <v>41</v>
      </c>
      <c r="I371" s="3" t="s">
        <v>18</v>
      </c>
      <c r="J371" s="3" t="s">
        <v>22</v>
      </c>
      <c r="K371" s="4">
        <v>45368</v>
      </c>
      <c r="L371" s="1">
        <v>18</v>
      </c>
      <c r="M371" s="3" t="s">
        <v>43</v>
      </c>
    </row>
    <row r="372" spans="1:13" x14ac:dyDescent="0.3">
      <c r="A372" s="3">
        <v>371</v>
      </c>
      <c r="B372" s="4">
        <v>45399</v>
      </c>
      <c r="C372" s="4" t="s">
        <v>57</v>
      </c>
      <c r="D372" s="5">
        <v>0.83819444444444446</v>
      </c>
      <c r="E372" s="3" t="s">
        <v>32</v>
      </c>
      <c r="F372" s="3" t="s">
        <v>24</v>
      </c>
      <c r="G372" s="3" t="s">
        <v>14</v>
      </c>
      <c r="H372" s="3" t="s">
        <v>40</v>
      </c>
      <c r="I372" s="3" t="s">
        <v>18</v>
      </c>
      <c r="J372" s="3" t="s">
        <v>20</v>
      </c>
      <c r="K372" s="4" t="s">
        <v>42</v>
      </c>
      <c r="L372" s="1" t="s">
        <v>42</v>
      </c>
      <c r="M372" s="3" t="s">
        <v>43</v>
      </c>
    </row>
    <row r="373" spans="1:13" x14ac:dyDescent="0.3">
      <c r="A373" s="3">
        <v>372</v>
      </c>
      <c r="B373" s="4">
        <v>45382</v>
      </c>
      <c r="C373" s="4" t="s">
        <v>62</v>
      </c>
      <c r="D373" s="5">
        <v>0.76944444444444449</v>
      </c>
      <c r="E373" s="3" t="s">
        <v>34</v>
      </c>
      <c r="F373" s="3" t="s">
        <v>24</v>
      </c>
      <c r="G373" s="3" t="s">
        <v>14</v>
      </c>
      <c r="H373" s="3" t="s">
        <v>15</v>
      </c>
      <c r="I373" s="3" t="s">
        <v>19</v>
      </c>
      <c r="J373" s="3" t="s">
        <v>22</v>
      </c>
      <c r="K373" s="4">
        <v>45382</v>
      </c>
      <c r="L373" s="1">
        <v>21</v>
      </c>
      <c r="M373" s="3" t="s">
        <v>43</v>
      </c>
    </row>
    <row r="374" spans="1:13" x14ac:dyDescent="0.3">
      <c r="A374" s="3">
        <v>373</v>
      </c>
      <c r="B374" s="4">
        <v>44976</v>
      </c>
      <c r="C374" s="4" t="s">
        <v>61</v>
      </c>
      <c r="D374" s="5">
        <v>0.76875000000000004</v>
      </c>
      <c r="E374" s="3" t="s">
        <v>34</v>
      </c>
      <c r="F374" s="3" t="s">
        <v>24</v>
      </c>
      <c r="G374" s="3" t="s">
        <v>13</v>
      </c>
      <c r="H374" s="3" t="s">
        <v>41</v>
      </c>
      <c r="I374" s="3" t="s">
        <v>18</v>
      </c>
      <c r="J374" s="3" t="s">
        <v>22</v>
      </c>
      <c r="K374" s="4">
        <v>44977</v>
      </c>
      <c r="L374" s="1">
        <v>12</v>
      </c>
      <c r="M374" s="3" t="s">
        <v>25</v>
      </c>
    </row>
    <row r="375" spans="1:13" x14ac:dyDescent="0.3">
      <c r="A375" s="3">
        <v>374</v>
      </c>
      <c r="B375" s="4">
        <v>44990</v>
      </c>
      <c r="C375" s="4" t="s">
        <v>48</v>
      </c>
      <c r="D375" s="5">
        <v>0.72152777777777777</v>
      </c>
      <c r="E375" s="3" t="s">
        <v>27</v>
      </c>
      <c r="F375" s="3" t="s">
        <v>24</v>
      </c>
      <c r="G375" s="3" t="s">
        <v>13</v>
      </c>
      <c r="H375" s="3" t="s">
        <v>40</v>
      </c>
      <c r="I375" s="3" t="s">
        <v>17</v>
      </c>
      <c r="J375" s="3" t="s">
        <v>21</v>
      </c>
      <c r="K375" s="4" t="s">
        <v>42</v>
      </c>
      <c r="L375" s="1" t="s">
        <v>42</v>
      </c>
      <c r="M375" s="3" t="s">
        <v>25</v>
      </c>
    </row>
    <row r="376" spans="1:13" x14ac:dyDescent="0.3">
      <c r="A376" s="3">
        <v>375</v>
      </c>
      <c r="B376" s="4">
        <v>44992</v>
      </c>
      <c r="C376" s="4" t="s">
        <v>48</v>
      </c>
      <c r="D376" s="5">
        <v>0.7680555555555556</v>
      </c>
      <c r="E376" s="3" t="s">
        <v>28</v>
      </c>
      <c r="F376" s="3" t="s">
        <v>24</v>
      </c>
      <c r="G376" s="3" t="s">
        <v>14</v>
      </c>
      <c r="H376" s="3" t="s">
        <v>16</v>
      </c>
      <c r="I376" s="3" t="s">
        <v>17</v>
      </c>
      <c r="J376" s="3" t="s">
        <v>20</v>
      </c>
      <c r="K376" s="4" t="s">
        <v>42</v>
      </c>
      <c r="L376" s="1" t="s">
        <v>42</v>
      </c>
      <c r="M376" s="3" t="s">
        <v>43</v>
      </c>
    </row>
    <row r="377" spans="1:13" x14ac:dyDescent="0.3">
      <c r="A377" s="3">
        <v>376</v>
      </c>
      <c r="B377" s="4">
        <v>45113</v>
      </c>
      <c r="C377" s="4" t="s">
        <v>53</v>
      </c>
      <c r="D377" s="5">
        <v>0.12777777777777777</v>
      </c>
      <c r="E377" s="3" t="s">
        <v>30</v>
      </c>
      <c r="F377" s="3" t="s">
        <v>24</v>
      </c>
      <c r="G377" s="3" t="s">
        <v>13</v>
      </c>
      <c r="H377" s="3" t="s">
        <v>41</v>
      </c>
      <c r="I377" s="3" t="s">
        <v>18</v>
      </c>
      <c r="J377" s="3" t="s">
        <v>22</v>
      </c>
      <c r="K377" s="4">
        <v>45113</v>
      </c>
      <c r="L377" s="1">
        <v>20</v>
      </c>
      <c r="M377" s="3" t="s">
        <v>25</v>
      </c>
    </row>
    <row r="378" spans="1:13" x14ac:dyDescent="0.3">
      <c r="A378" s="3">
        <v>377</v>
      </c>
      <c r="B378" s="4">
        <v>45223</v>
      </c>
      <c r="C378" s="4" t="s">
        <v>56</v>
      </c>
      <c r="D378" s="5">
        <v>0.42430555555555555</v>
      </c>
      <c r="E378" s="3" t="s">
        <v>34</v>
      </c>
      <c r="F378" s="3" t="s">
        <v>24</v>
      </c>
      <c r="G378" s="3" t="s">
        <v>38</v>
      </c>
      <c r="H378" s="3" t="s">
        <v>41</v>
      </c>
      <c r="I378" s="3" t="s">
        <v>18</v>
      </c>
      <c r="J378" s="3" t="s">
        <v>22</v>
      </c>
      <c r="K378" s="4">
        <v>45223</v>
      </c>
      <c r="L378" s="1">
        <v>5</v>
      </c>
      <c r="M378" s="3" t="s">
        <v>43</v>
      </c>
    </row>
    <row r="379" spans="1:13" x14ac:dyDescent="0.3">
      <c r="A379" s="3">
        <v>378</v>
      </c>
      <c r="B379" s="4">
        <v>45319</v>
      </c>
      <c r="C379" s="4" t="s">
        <v>52</v>
      </c>
      <c r="D379" s="5">
        <v>0.77500000000000002</v>
      </c>
      <c r="E379" s="3" t="s">
        <v>26</v>
      </c>
      <c r="F379" s="3" t="s">
        <v>24</v>
      </c>
      <c r="G379" s="3" t="s">
        <v>38</v>
      </c>
      <c r="H379" s="3" t="s">
        <v>16</v>
      </c>
      <c r="I379" s="3" t="s">
        <v>18</v>
      </c>
      <c r="J379" s="3" t="s">
        <v>21</v>
      </c>
      <c r="K379" s="4" t="s">
        <v>42</v>
      </c>
      <c r="L379" s="1" t="s">
        <v>42</v>
      </c>
      <c r="M379" s="3" t="s">
        <v>43</v>
      </c>
    </row>
    <row r="380" spans="1:13" x14ac:dyDescent="0.3">
      <c r="A380" s="3">
        <v>379</v>
      </c>
      <c r="B380" s="4">
        <v>45243</v>
      </c>
      <c r="C380" s="4" t="s">
        <v>46</v>
      </c>
      <c r="D380" s="5">
        <v>0.72708333333333341</v>
      </c>
      <c r="E380" s="3" t="s">
        <v>30</v>
      </c>
      <c r="F380" s="3" t="s">
        <v>24</v>
      </c>
      <c r="G380" s="3" t="s">
        <v>12</v>
      </c>
      <c r="H380" s="3" t="s">
        <v>41</v>
      </c>
      <c r="I380" s="3" t="s">
        <v>19</v>
      </c>
      <c r="J380" s="3" t="s">
        <v>22</v>
      </c>
      <c r="K380" s="4">
        <v>45245</v>
      </c>
      <c r="L380" s="1">
        <v>16</v>
      </c>
      <c r="M380" s="3" t="s">
        <v>25</v>
      </c>
    </row>
    <row r="381" spans="1:13" x14ac:dyDescent="0.3">
      <c r="A381" s="3">
        <v>380</v>
      </c>
      <c r="B381" s="4">
        <v>44993</v>
      </c>
      <c r="C381" s="4" t="s">
        <v>48</v>
      </c>
      <c r="D381" s="5">
        <v>0.83750000000000002</v>
      </c>
      <c r="E381" s="3" t="s">
        <v>28</v>
      </c>
      <c r="F381" s="3" t="s">
        <v>24</v>
      </c>
      <c r="G381" s="3" t="s">
        <v>12</v>
      </c>
      <c r="H381" s="3" t="s">
        <v>16</v>
      </c>
      <c r="I381" s="3" t="s">
        <v>19</v>
      </c>
      <c r="J381" s="3" t="s">
        <v>22</v>
      </c>
      <c r="K381" s="4">
        <v>44993</v>
      </c>
      <c r="L381" s="1">
        <v>2</v>
      </c>
      <c r="M381" s="3" t="s">
        <v>25</v>
      </c>
    </row>
    <row r="382" spans="1:13" x14ac:dyDescent="0.3">
      <c r="A382" s="3">
        <v>381</v>
      </c>
      <c r="B382" s="4">
        <v>45020</v>
      </c>
      <c r="C382" s="4" t="s">
        <v>55</v>
      </c>
      <c r="D382" s="5">
        <v>0.58888888888888891</v>
      </c>
      <c r="E382" s="3" t="s">
        <v>33</v>
      </c>
      <c r="F382" s="3" t="s">
        <v>24</v>
      </c>
      <c r="G382" s="3" t="s">
        <v>13</v>
      </c>
      <c r="H382" s="3" t="s">
        <v>15</v>
      </c>
      <c r="I382" s="3" t="s">
        <v>19</v>
      </c>
      <c r="J382" s="3" t="s">
        <v>21</v>
      </c>
      <c r="K382" s="4" t="s">
        <v>42</v>
      </c>
      <c r="L382" s="1" t="s">
        <v>42</v>
      </c>
      <c r="M382" s="3" t="s">
        <v>25</v>
      </c>
    </row>
    <row r="383" spans="1:13" x14ac:dyDescent="0.3">
      <c r="A383" s="3">
        <v>382</v>
      </c>
      <c r="B383" s="4">
        <v>45642</v>
      </c>
      <c r="C383" s="4" t="s">
        <v>59</v>
      </c>
      <c r="D383" s="5">
        <v>0.62847222222222221</v>
      </c>
      <c r="E383" s="3" t="s">
        <v>29</v>
      </c>
      <c r="F383" s="3" t="s">
        <v>24</v>
      </c>
      <c r="G383" s="3" t="s">
        <v>14</v>
      </c>
      <c r="H383" s="3" t="s">
        <v>41</v>
      </c>
      <c r="I383" s="3" t="s">
        <v>18</v>
      </c>
      <c r="J383" s="3" t="s">
        <v>20</v>
      </c>
      <c r="K383" s="4" t="s">
        <v>42</v>
      </c>
      <c r="L383" s="1" t="s">
        <v>42</v>
      </c>
      <c r="M383" s="3" t="s">
        <v>43</v>
      </c>
    </row>
    <row r="384" spans="1:13" x14ac:dyDescent="0.3">
      <c r="A384" s="3">
        <v>383</v>
      </c>
      <c r="B384" s="4">
        <v>45233</v>
      </c>
      <c r="C384" s="4" t="s">
        <v>46</v>
      </c>
      <c r="D384" s="5">
        <v>0.90347222222222223</v>
      </c>
      <c r="E384" s="3" t="s">
        <v>31</v>
      </c>
      <c r="F384" s="3" t="s">
        <v>24</v>
      </c>
      <c r="G384" s="3" t="s">
        <v>12</v>
      </c>
      <c r="H384" s="3" t="s">
        <v>40</v>
      </c>
      <c r="I384" s="3" t="s">
        <v>18</v>
      </c>
      <c r="J384" s="3" t="s">
        <v>22</v>
      </c>
      <c r="K384" s="4">
        <v>45235</v>
      </c>
      <c r="L384" s="1">
        <v>21</v>
      </c>
      <c r="M384" s="3" t="s">
        <v>25</v>
      </c>
    </row>
    <row r="385" spans="1:13" x14ac:dyDescent="0.3">
      <c r="A385" s="3">
        <v>384</v>
      </c>
      <c r="B385" s="4">
        <v>45300</v>
      </c>
      <c r="C385" s="4" t="s">
        <v>52</v>
      </c>
      <c r="D385" s="5">
        <v>0.19097222222222221</v>
      </c>
      <c r="E385" s="3" t="s">
        <v>29</v>
      </c>
      <c r="F385" s="3" t="s">
        <v>24</v>
      </c>
      <c r="G385" s="3" t="s">
        <v>38</v>
      </c>
      <c r="H385" s="3" t="s">
        <v>40</v>
      </c>
      <c r="I385" s="3" t="s">
        <v>18</v>
      </c>
      <c r="J385" s="3" t="s">
        <v>22</v>
      </c>
      <c r="K385" s="4">
        <v>45300</v>
      </c>
      <c r="L385" s="1">
        <v>2</v>
      </c>
      <c r="M385" s="3" t="s">
        <v>43</v>
      </c>
    </row>
    <row r="386" spans="1:13" x14ac:dyDescent="0.3">
      <c r="A386" s="3">
        <v>385</v>
      </c>
      <c r="B386" s="4">
        <v>45354</v>
      </c>
      <c r="C386" s="4" t="s">
        <v>62</v>
      </c>
      <c r="D386" s="5">
        <v>0.15625</v>
      </c>
      <c r="E386" s="3" t="s">
        <v>28</v>
      </c>
      <c r="F386" s="3" t="s">
        <v>24</v>
      </c>
      <c r="G386" s="3" t="s">
        <v>39</v>
      </c>
      <c r="H386" s="3" t="s">
        <v>41</v>
      </c>
      <c r="I386" s="3" t="s">
        <v>19</v>
      </c>
      <c r="J386" s="3" t="s">
        <v>20</v>
      </c>
      <c r="K386" s="4" t="s">
        <v>42</v>
      </c>
      <c r="L386" s="1" t="s">
        <v>42</v>
      </c>
      <c r="M386" s="3" t="s">
        <v>43</v>
      </c>
    </row>
    <row r="387" spans="1:13" x14ac:dyDescent="0.3">
      <c r="A387" s="3">
        <v>386</v>
      </c>
      <c r="B387" s="4">
        <v>45043</v>
      </c>
      <c r="C387" s="4" t="s">
        <v>55</v>
      </c>
      <c r="D387" s="5">
        <v>0.53541666666666665</v>
      </c>
      <c r="E387" s="3" t="s">
        <v>26</v>
      </c>
      <c r="F387" s="3" t="s">
        <v>24</v>
      </c>
      <c r="G387" s="3" t="s">
        <v>37</v>
      </c>
      <c r="H387" s="3" t="s">
        <v>16</v>
      </c>
      <c r="I387" s="3" t="s">
        <v>17</v>
      </c>
      <c r="J387" s="3" t="s">
        <v>22</v>
      </c>
      <c r="K387" s="4">
        <v>45045</v>
      </c>
      <c r="L387" s="1">
        <v>3</v>
      </c>
      <c r="M387" s="3" t="s">
        <v>43</v>
      </c>
    </row>
    <row r="388" spans="1:13" x14ac:dyDescent="0.3">
      <c r="A388" s="3">
        <v>387</v>
      </c>
      <c r="B388" s="4">
        <v>45510</v>
      </c>
      <c r="C388" s="4" t="s">
        <v>64</v>
      </c>
      <c r="D388" s="5">
        <v>0.2986111111111111</v>
      </c>
      <c r="E388" s="3" t="s">
        <v>28</v>
      </c>
      <c r="F388" s="3" t="s">
        <v>24</v>
      </c>
      <c r="G388" s="3" t="s">
        <v>39</v>
      </c>
      <c r="H388" s="3" t="s">
        <v>15</v>
      </c>
      <c r="I388" s="3" t="s">
        <v>17</v>
      </c>
      <c r="J388" s="3" t="s">
        <v>22</v>
      </c>
      <c r="K388" s="4">
        <v>45511</v>
      </c>
      <c r="L388" s="1">
        <v>22</v>
      </c>
      <c r="M388" s="3" t="s">
        <v>43</v>
      </c>
    </row>
    <row r="389" spans="1:13" x14ac:dyDescent="0.3">
      <c r="A389" s="3">
        <v>388</v>
      </c>
      <c r="B389" s="4">
        <v>45287</v>
      </c>
      <c r="C389" s="4" t="s">
        <v>60</v>
      </c>
      <c r="D389" s="5">
        <v>0.49722222222222223</v>
      </c>
      <c r="E389" s="3" t="s">
        <v>36</v>
      </c>
      <c r="F389" s="3" t="s">
        <v>24</v>
      </c>
      <c r="G389" s="3" t="s">
        <v>39</v>
      </c>
      <c r="H389" s="3" t="s">
        <v>41</v>
      </c>
      <c r="I389" s="3" t="s">
        <v>17</v>
      </c>
      <c r="J389" s="3" t="s">
        <v>21</v>
      </c>
      <c r="K389" s="4" t="s">
        <v>42</v>
      </c>
      <c r="L389" s="1" t="s">
        <v>42</v>
      </c>
      <c r="M389" s="3" t="s">
        <v>43</v>
      </c>
    </row>
    <row r="390" spans="1:13" x14ac:dyDescent="0.3">
      <c r="A390" s="3">
        <v>389</v>
      </c>
      <c r="B390" s="4">
        <v>45402</v>
      </c>
      <c r="C390" s="4" t="s">
        <v>57</v>
      </c>
      <c r="D390" s="5">
        <v>0.9194444444444444</v>
      </c>
      <c r="E390" s="3" t="s">
        <v>29</v>
      </c>
      <c r="F390" s="3" t="s">
        <v>24</v>
      </c>
      <c r="G390" s="3" t="s">
        <v>14</v>
      </c>
      <c r="H390" s="3" t="s">
        <v>40</v>
      </c>
      <c r="I390" s="3" t="s">
        <v>18</v>
      </c>
      <c r="J390" s="3" t="s">
        <v>20</v>
      </c>
      <c r="K390" s="4" t="s">
        <v>42</v>
      </c>
      <c r="L390" s="1" t="s">
        <v>42</v>
      </c>
      <c r="M390" s="3" t="s">
        <v>43</v>
      </c>
    </row>
    <row r="391" spans="1:13" x14ac:dyDescent="0.3">
      <c r="A391" s="3">
        <v>390</v>
      </c>
      <c r="B391" s="4">
        <v>45614</v>
      </c>
      <c r="C391" s="4" t="s">
        <v>68</v>
      </c>
      <c r="D391" s="5">
        <v>0.99236111111111114</v>
      </c>
      <c r="E391" s="3" t="s">
        <v>33</v>
      </c>
      <c r="F391" s="3" t="s">
        <v>24</v>
      </c>
      <c r="G391" s="3" t="s">
        <v>38</v>
      </c>
      <c r="H391" s="3" t="s">
        <v>41</v>
      </c>
      <c r="I391" s="3" t="s">
        <v>18</v>
      </c>
      <c r="J391" s="3" t="s">
        <v>20</v>
      </c>
      <c r="K391" s="4" t="s">
        <v>42</v>
      </c>
      <c r="L391" s="1" t="s">
        <v>42</v>
      </c>
      <c r="M391" s="3" t="s">
        <v>43</v>
      </c>
    </row>
    <row r="392" spans="1:13" x14ac:dyDescent="0.3">
      <c r="A392" s="3">
        <v>391</v>
      </c>
      <c r="B392" s="4">
        <v>45162</v>
      </c>
      <c r="C392" s="4" t="s">
        <v>69</v>
      </c>
      <c r="D392" s="5">
        <v>1.5277777777777777E-2</v>
      </c>
      <c r="E392" s="3" t="s">
        <v>34</v>
      </c>
      <c r="F392" s="3" t="s">
        <v>24</v>
      </c>
      <c r="G392" s="3" t="s">
        <v>12</v>
      </c>
      <c r="H392" s="3" t="s">
        <v>40</v>
      </c>
      <c r="I392" s="3" t="s">
        <v>18</v>
      </c>
      <c r="J392" s="3" t="s">
        <v>20</v>
      </c>
      <c r="K392" s="4" t="s">
        <v>42</v>
      </c>
      <c r="L392" s="1" t="s">
        <v>42</v>
      </c>
      <c r="M392" s="3" t="s">
        <v>25</v>
      </c>
    </row>
    <row r="393" spans="1:13" x14ac:dyDescent="0.3">
      <c r="A393" s="3">
        <v>392</v>
      </c>
      <c r="B393" s="4">
        <v>45375</v>
      </c>
      <c r="C393" s="4" t="s">
        <v>62</v>
      </c>
      <c r="D393" s="5">
        <v>0.74097222222222225</v>
      </c>
      <c r="E393" s="3" t="s">
        <v>36</v>
      </c>
      <c r="F393" s="3" t="s">
        <v>24</v>
      </c>
      <c r="G393" s="3" t="s">
        <v>38</v>
      </c>
      <c r="H393" s="3" t="s">
        <v>40</v>
      </c>
      <c r="I393" s="3" t="s">
        <v>18</v>
      </c>
      <c r="J393" s="3" t="s">
        <v>22</v>
      </c>
      <c r="K393" s="4">
        <v>45375</v>
      </c>
      <c r="L393" s="1">
        <v>11</v>
      </c>
      <c r="M393" s="3" t="s">
        <v>43</v>
      </c>
    </row>
    <row r="394" spans="1:13" x14ac:dyDescent="0.3">
      <c r="A394" s="3">
        <v>393</v>
      </c>
      <c r="B394" s="4">
        <v>45592</v>
      </c>
      <c r="C394" s="4" t="s">
        <v>67</v>
      </c>
      <c r="D394" s="5">
        <v>0.30486111111111114</v>
      </c>
      <c r="E394" s="3" t="s">
        <v>34</v>
      </c>
      <c r="F394" s="3" t="s">
        <v>24</v>
      </c>
      <c r="G394" s="3" t="s">
        <v>14</v>
      </c>
      <c r="H394" s="3" t="s">
        <v>40</v>
      </c>
      <c r="I394" s="3" t="s">
        <v>18</v>
      </c>
      <c r="J394" s="3" t="s">
        <v>22</v>
      </c>
      <c r="K394" s="4">
        <v>45592</v>
      </c>
      <c r="L394" s="1">
        <v>23</v>
      </c>
      <c r="M394" s="3" t="s">
        <v>43</v>
      </c>
    </row>
    <row r="395" spans="1:13" x14ac:dyDescent="0.3">
      <c r="A395" s="3">
        <v>394</v>
      </c>
      <c r="B395" s="4">
        <v>45123</v>
      </c>
      <c r="C395" s="4" t="s">
        <v>53</v>
      </c>
      <c r="D395" s="5">
        <v>0.94722222222222219</v>
      </c>
      <c r="E395" s="3" t="s">
        <v>28</v>
      </c>
      <c r="F395" s="3" t="s">
        <v>24</v>
      </c>
      <c r="G395" s="3" t="s">
        <v>13</v>
      </c>
      <c r="H395" s="3" t="s">
        <v>41</v>
      </c>
      <c r="I395" s="3" t="s">
        <v>17</v>
      </c>
      <c r="J395" s="3" t="s">
        <v>20</v>
      </c>
      <c r="K395" s="4" t="s">
        <v>42</v>
      </c>
      <c r="L395" s="1" t="s">
        <v>42</v>
      </c>
      <c r="M395" s="3" t="s">
        <v>25</v>
      </c>
    </row>
    <row r="396" spans="1:13" x14ac:dyDescent="0.3">
      <c r="A396" s="3">
        <v>395</v>
      </c>
      <c r="B396" s="4">
        <v>45194</v>
      </c>
      <c r="C396" s="4" t="s">
        <v>51</v>
      </c>
      <c r="D396" s="5">
        <v>0.97569444444444453</v>
      </c>
      <c r="E396" s="3" t="s">
        <v>27</v>
      </c>
      <c r="F396" s="3" t="s">
        <v>24</v>
      </c>
      <c r="G396" s="3" t="s">
        <v>14</v>
      </c>
      <c r="H396" s="3" t="s">
        <v>15</v>
      </c>
      <c r="I396" s="3" t="s">
        <v>18</v>
      </c>
      <c r="J396" s="3" t="s">
        <v>22</v>
      </c>
      <c r="K396" s="4">
        <v>45194</v>
      </c>
      <c r="L396" s="1">
        <v>15</v>
      </c>
      <c r="M396" s="3" t="s">
        <v>43</v>
      </c>
    </row>
    <row r="397" spans="1:13" x14ac:dyDescent="0.3">
      <c r="A397" s="3">
        <v>396</v>
      </c>
      <c r="B397" s="4">
        <v>45557</v>
      </c>
      <c r="C397" s="4" t="s">
        <v>66</v>
      </c>
      <c r="D397" s="5">
        <v>0.42152777777777778</v>
      </c>
      <c r="E397" s="3" t="s">
        <v>30</v>
      </c>
      <c r="F397" s="3" t="s">
        <v>24</v>
      </c>
      <c r="G397" s="3" t="s">
        <v>39</v>
      </c>
      <c r="H397" s="3" t="s">
        <v>41</v>
      </c>
      <c r="I397" s="3" t="s">
        <v>19</v>
      </c>
      <c r="J397" s="3" t="s">
        <v>22</v>
      </c>
      <c r="K397" s="4">
        <v>45559</v>
      </c>
      <c r="L397" s="1">
        <v>9</v>
      </c>
      <c r="M397" s="3" t="s">
        <v>43</v>
      </c>
    </row>
    <row r="398" spans="1:13" x14ac:dyDescent="0.3">
      <c r="A398" s="3">
        <v>397</v>
      </c>
      <c r="B398" s="4">
        <v>44983</v>
      </c>
      <c r="C398" s="4" t="s">
        <v>61</v>
      </c>
      <c r="D398" s="5">
        <v>0.5625</v>
      </c>
      <c r="E398" s="3" t="s">
        <v>30</v>
      </c>
      <c r="F398" s="3" t="s">
        <v>24</v>
      </c>
      <c r="G398" s="3" t="s">
        <v>12</v>
      </c>
      <c r="H398" s="3" t="s">
        <v>40</v>
      </c>
      <c r="I398" s="3" t="s">
        <v>18</v>
      </c>
      <c r="J398" s="3" t="s">
        <v>21</v>
      </c>
      <c r="K398" s="4" t="s">
        <v>42</v>
      </c>
      <c r="L398" s="1" t="s">
        <v>42</v>
      </c>
      <c r="M398" s="3" t="s">
        <v>25</v>
      </c>
    </row>
    <row r="399" spans="1:13" x14ac:dyDescent="0.3">
      <c r="A399" s="3">
        <v>398</v>
      </c>
      <c r="B399" s="4">
        <v>45209</v>
      </c>
      <c r="C399" s="4" t="s">
        <v>56</v>
      </c>
      <c r="D399" s="5">
        <v>0.55833333333333335</v>
      </c>
      <c r="E399" s="3" t="s">
        <v>33</v>
      </c>
      <c r="F399" s="3" t="s">
        <v>24</v>
      </c>
      <c r="G399" s="3" t="s">
        <v>37</v>
      </c>
      <c r="H399" s="3" t="s">
        <v>40</v>
      </c>
      <c r="I399" s="3" t="s">
        <v>17</v>
      </c>
      <c r="J399" s="3" t="s">
        <v>22</v>
      </c>
      <c r="K399" s="4">
        <v>45209</v>
      </c>
      <c r="L399" s="1">
        <v>2</v>
      </c>
      <c r="M399" s="3" t="s">
        <v>43</v>
      </c>
    </row>
    <row r="400" spans="1:13" x14ac:dyDescent="0.3">
      <c r="A400" s="3">
        <v>399</v>
      </c>
      <c r="B400" s="4">
        <v>45248</v>
      </c>
      <c r="C400" s="4" t="s">
        <v>46</v>
      </c>
      <c r="D400" s="5">
        <v>0.79166666666666663</v>
      </c>
      <c r="E400" s="3" t="s">
        <v>27</v>
      </c>
      <c r="F400" s="3" t="s">
        <v>24</v>
      </c>
      <c r="G400" s="3" t="s">
        <v>12</v>
      </c>
      <c r="H400" s="3" t="s">
        <v>16</v>
      </c>
      <c r="I400" s="3" t="s">
        <v>18</v>
      </c>
      <c r="J400" s="3" t="s">
        <v>20</v>
      </c>
      <c r="K400" s="4" t="s">
        <v>42</v>
      </c>
      <c r="L400" s="1" t="s">
        <v>42</v>
      </c>
      <c r="M400" s="3" t="s">
        <v>25</v>
      </c>
    </row>
    <row r="401" spans="1:13" x14ac:dyDescent="0.3">
      <c r="A401" s="3">
        <v>400</v>
      </c>
      <c r="B401" s="4">
        <v>45593</v>
      </c>
      <c r="C401" s="4" t="s">
        <v>67</v>
      </c>
      <c r="D401" s="5">
        <v>0.23819444444444446</v>
      </c>
      <c r="E401" s="3" t="s">
        <v>26</v>
      </c>
      <c r="F401" s="3" t="s">
        <v>24</v>
      </c>
      <c r="G401" s="3" t="s">
        <v>14</v>
      </c>
      <c r="H401" s="3" t="s">
        <v>41</v>
      </c>
      <c r="I401" s="3" t="s">
        <v>17</v>
      </c>
      <c r="J401" s="3" t="s">
        <v>22</v>
      </c>
      <c r="K401" s="4">
        <v>45595</v>
      </c>
      <c r="L401" s="1">
        <v>5</v>
      </c>
      <c r="M401" s="3" t="s">
        <v>43</v>
      </c>
    </row>
    <row r="402" spans="1:13" x14ac:dyDescent="0.3">
      <c r="A402" s="3">
        <v>401</v>
      </c>
      <c r="B402" s="4">
        <v>45081</v>
      </c>
      <c r="C402" s="4" t="s">
        <v>50</v>
      </c>
      <c r="D402" s="5">
        <v>0.39513888888888887</v>
      </c>
      <c r="E402" s="3" t="s">
        <v>29</v>
      </c>
      <c r="F402" s="3" t="s">
        <v>24</v>
      </c>
      <c r="G402" s="3" t="s">
        <v>14</v>
      </c>
      <c r="H402" s="3" t="s">
        <v>16</v>
      </c>
      <c r="I402" s="3" t="s">
        <v>19</v>
      </c>
      <c r="J402" s="3" t="s">
        <v>22</v>
      </c>
      <c r="K402" s="4">
        <v>45082</v>
      </c>
      <c r="L402" s="1">
        <v>13</v>
      </c>
      <c r="M402" s="3" t="s">
        <v>43</v>
      </c>
    </row>
    <row r="403" spans="1:13" x14ac:dyDescent="0.3">
      <c r="A403" s="3">
        <v>402</v>
      </c>
      <c r="B403" s="4">
        <v>45471</v>
      </c>
      <c r="C403" s="4" t="s">
        <v>58</v>
      </c>
      <c r="D403" s="5">
        <v>0.74305555555555558</v>
      </c>
      <c r="E403" s="3" t="s">
        <v>27</v>
      </c>
      <c r="F403" s="3" t="s">
        <v>24</v>
      </c>
      <c r="G403" s="3" t="s">
        <v>37</v>
      </c>
      <c r="H403" s="3" t="s">
        <v>15</v>
      </c>
      <c r="I403" s="3" t="s">
        <v>18</v>
      </c>
      <c r="J403" s="3" t="s">
        <v>21</v>
      </c>
      <c r="K403" s="4" t="s">
        <v>42</v>
      </c>
      <c r="L403" s="1" t="s">
        <v>42</v>
      </c>
      <c r="M403" s="3" t="s">
        <v>43</v>
      </c>
    </row>
    <row r="404" spans="1:13" x14ac:dyDescent="0.3">
      <c r="A404" s="3">
        <v>403</v>
      </c>
      <c r="B404" s="4">
        <v>45109</v>
      </c>
      <c r="C404" s="4" t="s">
        <v>53</v>
      </c>
      <c r="D404" s="5">
        <v>1.7361111111111112E-2</v>
      </c>
      <c r="E404" s="3" t="s">
        <v>33</v>
      </c>
      <c r="F404" s="3" t="s">
        <v>24</v>
      </c>
      <c r="G404" s="3" t="s">
        <v>39</v>
      </c>
      <c r="H404" s="3" t="s">
        <v>15</v>
      </c>
      <c r="I404" s="3" t="s">
        <v>19</v>
      </c>
      <c r="J404" s="3" t="s">
        <v>21</v>
      </c>
      <c r="K404" s="4" t="s">
        <v>42</v>
      </c>
      <c r="L404" s="1" t="s">
        <v>42</v>
      </c>
      <c r="M404" s="3" t="s">
        <v>43</v>
      </c>
    </row>
    <row r="405" spans="1:13" x14ac:dyDescent="0.3">
      <c r="A405" s="3">
        <v>404</v>
      </c>
      <c r="B405" s="4">
        <v>45520</v>
      </c>
      <c r="C405" s="4" t="s">
        <v>64</v>
      </c>
      <c r="D405" s="5">
        <v>0.50208333333333333</v>
      </c>
      <c r="E405" s="3" t="s">
        <v>34</v>
      </c>
      <c r="F405" s="3" t="s">
        <v>24</v>
      </c>
      <c r="G405" s="3" t="s">
        <v>14</v>
      </c>
      <c r="H405" s="3" t="s">
        <v>41</v>
      </c>
      <c r="I405" s="3" t="s">
        <v>19</v>
      </c>
      <c r="J405" s="3" t="s">
        <v>22</v>
      </c>
      <c r="K405" s="4">
        <v>45520</v>
      </c>
      <c r="L405" s="1">
        <v>11</v>
      </c>
      <c r="M405" s="3" t="s">
        <v>43</v>
      </c>
    </row>
    <row r="406" spans="1:13" x14ac:dyDescent="0.3">
      <c r="A406" s="3">
        <v>405</v>
      </c>
      <c r="B406" s="4">
        <v>45378</v>
      </c>
      <c r="C406" s="4" t="s">
        <v>62</v>
      </c>
      <c r="D406" s="5">
        <v>0.99513888888888891</v>
      </c>
      <c r="E406" s="3" t="s">
        <v>31</v>
      </c>
      <c r="F406" s="3" t="s">
        <v>24</v>
      </c>
      <c r="G406" s="3" t="s">
        <v>13</v>
      </c>
      <c r="H406" s="3" t="s">
        <v>16</v>
      </c>
      <c r="I406" s="3" t="s">
        <v>19</v>
      </c>
      <c r="J406" s="3" t="s">
        <v>22</v>
      </c>
      <c r="K406" s="4">
        <v>45378</v>
      </c>
      <c r="L406" s="1">
        <v>20</v>
      </c>
      <c r="M406" s="3" t="s">
        <v>25</v>
      </c>
    </row>
    <row r="407" spans="1:13" x14ac:dyDescent="0.3">
      <c r="A407" s="3">
        <v>406</v>
      </c>
      <c r="B407" s="4">
        <v>45229</v>
      </c>
      <c r="C407" s="4" t="s">
        <v>56</v>
      </c>
      <c r="D407" s="5">
        <v>0.8125</v>
      </c>
      <c r="E407" s="3" t="s">
        <v>33</v>
      </c>
      <c r="F407" s="3" t="s">
        <v>24</v>
      </c>
      <c r="G407" s="3" t="s">
        <v>39</v>
      </c>
      <c r="H407" s="3" t="s">
        <v>41</v>
      </c>
      <c r="I407" s="3" t="s">
        <v>18</v>
      </c>
      <c r="J407" s="3" t="s">
        <v>22</v>
      </c>
      <c r="K407" s="4">
        <v>45231</v>
      </c>
      <c r="L407" s="1">
        <v>6</v>
      </c>
      <c r="M407" s="3" t="s">
        <v>43</v>
      </c>
    </row>
    <row r="408" spans="1:13" x14ac:dyDescent="0.3">
      <c r="A408" s="3">
        <v>407</v>
      </c>
      <c r="B408" s="4">
        <v>44976</v>
      </c>
      <c r="C408" s="4" t="s">
        <v>61</v>
      </c>
      <c r="D408" s="5">
        <v>0.21597222222222223</v>
      </c>
      <c r="E408" s="3" t="s">
        <v>26</v>
      </c>
      <c r="F408" s="3" t="s">
        <v>24</v>
      </c>
      <c r="G408" s="3" t="s">
        <v>37</v>
      </c>
      <c r="H408" s="3" t="s">
        <v>41</v>
      </c>
      <c r="I408" s="3" t="s">
        <v>18</v>
      </c>
      <c r="J408" s="3" t="s">
        <v>21</v>
      </c>
      <c r="K408" s="4" t="s">
        <v>42</v>
      </c>
      <c r="L408" s="1" t="s">
        <v>42</v>
      </c>
      <c r="M408" s="3" t="s">
        <v>43</v>
      </c>
    </row>
    <row r="409" spans="1:13" x14ac:dyDescent="0.3">
      <c r="A409" s="3">
        <v>408</v>
      </c>
      <c r="B409" s="4">
        <v>44984</v>
      </c>
      <c r="C409" s="4" t="s">
        <v>61</v>
      </c>
      <c r="D409" s="5">
        <v>0.52708333333333335</v>
      </c>
      <c r="E409" s="3" t="s">
        <v>34</v>
      </c>
      <c r="F409" s="3" t="s">
        <v>24</v>
      </c>
      <c r="G409" s="3" t="s">
        <v>13</v>
      </c>
      <c r="H409" s="3" t="s">
        <v>40</v>
      </c>
      <c r="I409" s="3" t="s">
        <v>19</v>
      </c>
      <c r="J409" s="3" t="s">
        <v>20</v>
      </c>
      <c r="K409" s="4" t="s">
        <v>42</v>
      </c>
      <c r="L409" s="1" t="s">
        <v>42</v>
      </c>
      <c r="M409" s="3" t="s">
        <v>25</v>
      </c>
    </row>
    <row r="410" spans="1:13" x14ac:dyDescent="0.3">
      <c r="A410" s="3">
        <v>409</v>
      </c>
      <c r="B410" s="4">
        <v>45249</v>
      </c>
      <c r="C410" s="4" t="s">
        <v>46</v>
      </c>
      <c r="D410" s="5">
        <v>0.89722222222222225</v>
      </c>
      <c r="E410" s="3" t="s">
        <v>32</v>
      </c>
      <c r="F410" s="3" t="s">
        <v>24</v>
      </c>
      <c r="G410" s="3" t="s">
        <v>13</v>
      </c>
      <c r="H410" s="3" t="s">
        <v>40</v>
      </c>
      <c r="I410" s="3" t="s">
        <v>18</v>
      </c>
      <c r="J410" s="3" t="s">
        <v>20</v>
      </c>
      <c r="K410" s="4" t="s">
        <v>42</v>
      </c>
      <c r="L410" s="1" t="s">
        <v>42</v>
      </c>
      <c r="M410" s="3" t="s">
        <v>25</v>
      </c>
    </row>
    <row r="411" spans="1:13" x14ac:dyDescent="0.3">
      <c r="A411" s="3">
        <v>410</v>
      </c>
      <c r="B411" s="4">
        <v>45180</v>
      </c>
      <c r="C411" s="4" t="s">
        <v>51</v>
      </c>
      <c r="D411" s="5">
        <v>0.16319444444444445</v>
      </c>
      <c r="E411" s="3" t="s">
        <v>34</v>
      </c>
      <c r="F411" s="3" t="s">
        <v>24</v>
      </c>
      <c r="G411" s="3" t="s">
        <v>13</v>
      </c>
      <c r="H411" s="3" t="s">
        <v>40</v>
      </c>
      <c r="I411" s="3" t="s">
        <v>18</v>
      </c>
      <c r="J411" s="3" t="s">
        <v>22</v>
      </c>
      <c r="K411" s="4">
        <v>45182</v>
      </c>
      <c r="L411" s="1">
        <v>1</v>
      </c>
      <c r="M411" s="3" t="s">
        <v>25</v>
      </c>
    </row>
    <row r="412" spans="1:13" x14ac:dyDescent="0.3">
      <c r="A412" s="3">
        <v>411</v>
      </c>
      <c r="B412" s="4">
        <v>45120</v>
      </c>
      <c r="C412" s="4" t="s">
        <v>53</v>
      </c>
      <c r="D412" s="5">
        <v>0.89375000000000004</v>
      </c>
      <c r="E412" s="3" t="s">
        <v>36</v>
      </c>
      <c r="F412" s="3" t="s">
        <v>24</v>
      </c>
      <c r="G412" s="3" t="s">
        <v>14</v>
      </c>
      <c r="H412" s="3" t="s">
        <v>41</v>
      </c>
      <c r="I412" s="3" t="s">
        <v>18</v>
      </c>
      <c r="J412" s="3" t="s">
        <v>22</v>
      </c>
      <c r="K412" s="4">
        <v>45120</v>
      </c>
      <c r="L412" s="1">
        <v>4</v>
      </c>
      <c r="M412" s="3" t="s">
        <v>43</v>
      </c>
    </row>
    <row r="413" spans="1:13" x14ac:dyDescent="0.3">
      <c r="A413" s="3">
        <v>412</v>
      </c>
      <c r="B413" s="4">
        <v>45318</v>
      </c>
      <c r="C413" s="4" t="s">
        <v>52</v>
      </c>
      <c r="D413" s="5">
        <v>8.1944444444444445E-2</v>
      </c>
      <c r="E413" s="3" t="s">
        <v>35</v>
      </c>
      <c r="F413" s="3" t="s">
        <v>24</v>
      </c>
      <c r="G413" s="3" t="s">
        <v>38</v>
      </c>
      <c r="H413" s="3" t="s">
        <v>41</v>
      </c>
      <c r="I413" s="3" t="s">
        <v>18</v>
      </c>
      <c r="J413" s="3" t="s">
        <v>22</v>
      </c>
      <c r="K413" s="4">
        <v>45320</v>
      </c>
      <c r="L413" s="1">
        <v>6</v>
      </c>
      <c r="M413" s="3" t="s">
        <v>43</v>
      </c>
    </row>
    <row r="414" spans="1:13" x14ac:dyDescent="0.3">
      <c r="A414" s="3">
        <v>413</v>
      </c>
      <c r="B414" s="4">
        <v>45465</v>
      </c>
      <c r="C414" s="4" t="s">
        <v>58</v>
      </c>
      <c r="D414" s="5">
        <v>0.77569444444444446</v>
      </c>
      <c r="E414" s="3" t="s">
        <v>30</v>
      </c>
      <c r="F414" s="3" t="s">
        <v>24</v>
      </c>
      <c r="G414" s="3" t="s">
        <v>12</v>
      </c>
      <c r="H414" s="3" t="s">
        <v>40</v>
      </c>
      <c r="I414" s="3" t="s">
        <v>19</v>
      </c>
      <c r="J414" s="3" t="s">
        <v>22</v>
      </c>
      <c r="K414" s="4">
        <v>45466</v>
      </c>
      <c r="L414" s="1">
        <v>21</v>
      </c>
      <c r="M414" s="3" t="s">
        <v>25</v>
      </c>
    </row>
    <row r="415" spans="1:13" x14ac:dyDescent="0.3">
      <c r="A415" s="3">
        <v>414</v>
      </c>
      <c r="B415" s="4">
        <v>45616</v>
      </c>
      <c r="C415" s="4" t="s">
        <v>68</v>
      </c>
      <c r="D415" s="5">
        <v>0.17569444444444443</v>
      </c>
      <c r="E415" s="3" t="s">
        <v>30</v>
      </c>
      <c r="F415" s="3" t="s">
        <v>24</v>
      </c>
      <c r="G415" s="3" t="s">
        <v>37</v>
      </c>
      <c r="H415" s="3" t="s">
        <v>40</v>
      </c>
      <c r="I415" s="3" t="s">
        <v>18</v>
      </c>
      <c r="J415" s="3" t="s">
        <v>22</v>
      </c>
      <c r="K415" s="4">
        <v>45618</v>
      </c>
      <c r="L415" s="1">
        <v>11</v>
      </c>
      <c r="M415" s="3" t="s">
        <v>43</v>
      </c>
    </row>
    <row r="416" spans="1:13" x14ac:dyDescent="0.3">
      <c r="A416" s="3">
        <v>415</v>
      </c>
      <c r="B416" s="4">
        <v>45549</v>
      </c>
      <c r="C416" s="4" t="s">
        <v>66</v>
      </c>
      <c r="D416" s="5">
        <v>0.14166666666666666</v>
      </c>
      <c r="E416" s="3" t="s">
        <v>33</v>
      </c>
      <c r="F416" s="3" t="s">
        <v>24</v>
      </c>
      <c r="G416" s="3" t="s">
        <v>37</v>
      </c>
      <c r="H416" s="3" t="s">
        <v>16</v>
      </c>
      <c r="I416" s="3" t="s">
        <v>18</v>
      </c>
      <c r="J416" s="3" t="s">
        <v>22</v>
      </c>
      <c r="K416" s="4">
        <v>45550</v>
      </c>
      <c r="L416" s="1">
        <v>21</v>
      </c>
      <c r="M416" s="3" t="s">
        <v>43</v>
      </c>
    </row>
    <row r="417" spans="1:13" x14ac:dyDescent="0.3">
      <c r="A417" s="3">
        <v>416</v>
      </c>
      <c r="B417" s="4">
        <v>45171</v>
      </c>
      <c r="C417" s="4" t="s">
        <v>51</v>
      </c>
      <c r="D417" s="5">
        <v>8.2638888888888887E-2</v>
      </c>
      <c r="E417" s="3" t="s">
        <v>28</v>
      </c>
      <c r="F417" s="3" t="s">
        <v>24</v>
      </c>
      <c r="G417" s="3" t="s">
        <v>38</v>
      </c>
      <c r="H417" s="3" t="s">
        <v>41</v>
      </c>
      <c r="I417" s="3" t="s">
        <v>19</v>
      </c>
      <c r="J417" s="3" t="s">
        <v>20</v>
      </c>
      <c r="K417" s="4" t="s">
        <v>42</v>
      </c>
      <c r="L417" s="1" t="s">
        <v>42</v>
      </c>
      <c r="M417" s="3" t="s">
        <v>43</v>
      </c>
    </row>
    <row r="418" spans="1:13" x14ac:dyDescent="0.3">
      <c r="A418" s="3">
        <v>417</v>
      </c>
      <c r="B418" s="4">
        <v>45286</v>
      </c>
      <c r="C418" s="4" t="s">
        <v>60</v>
      </c>
      <c r="D418" s="5">
        <v>0.36805555555555552</v>
      </c>
      <c r="E418" s="3" t="s">
        <v>36</v>
      </c>
      <c r="F418" s="3" t="s">
        <v>24</v>
      </c>
      <c r="G418" s="3" t="s">
        <v>39</v>
      </c>
      <c r="H418" s="3" t="s">
        <v>15</v>
      </c>
      <c r="I418" s="3" t="s">
        <v>18</v>
      </c>
      <c r="J418" s="3" t="s">
        <v>22</v>
      </c>
      <c r="K418" s="4">
        <v>45287</v>
      </c>
      <c r="L418" s="1">
        <v>16</v>
      </c>
      <c r="M418" s="3" t="s">
        <v>43</v>
      </c>
    </row>
    <row r="419" spans="1:13" x14ac:dyDescent="0.3">
      <c r="A419" s="3">
        <v>418</v>
      </c>
      <c r="B419" s="4">
        <v>45438</v>
      </c>
      <c r="C419" s="4" t="s">
        <v>47</v>
      </c>
      <c r="D419" s="5">
        <v>0.32222222222222224</v>
      </c>
      <c r="E419" s="3" t="s">
        <v>29</v>
      </c>
      <c r="F419" s="3" t="s">
        <v>24</v>
      </c>
      <c r="G419" s="3" t="s">
        <v>37</v>
      </c>
      <c r="H419" s="3" t="s">
        <v>41</v>
      </c>
      <c r="I419" s="3" t="s">
        <v>19</v>
      </c>
      <c r="J419" s="3" t="s">
        <v>22</v>
      </c>
      <c r="K419" s="4">
        <v>45440</v>
      </c>
      <c r="L419" s="1">
        <v>20</v>
      </c>
      <c r="M419" s="3" t="s">
        <v>43</v>
      </c>
    </row>
    <row r="420" spans="1:13" x14ac:dyDescent="0.3">
      <c r="A420" s="3">
        <v>419</v>
      </c>
      <c r="B420" s="4">
        <v>45185</v>
      </c>
      <c r="C420" s="4" t="s">
        <v>51</v>
      </c>
      <c r="D420" s="5">
        <v>0.37916666666666665</v>
      </c>
      <c r="E420" s="3" t="s">
        <v>36</v>
      </c>
      <c r="F420" s="3" t="s">
        <v>24</v>
      </c>
      <c r="G420" s="3" t="s">
        <v>39</v>
      </c>
      <c r="H420" s="3" t="s">
        <v>16</v>
      </c>
      <c r="I420" s="3" t="s">
        <v>17</v>
      </c>
      <c r="J420" s="3" t="s">
        <v>22</v>
      </c>
      <c r="K420" s="4">
        <v>45185</v>
      </c>
      <c r="L420" s="1">
        <v>24</v>
      </c>
      <c r="M420" s="3" t="s">
        <v>43</v>
      </c>
    </row>
    <row r="421" spans="1:13" x14ac:dyDescent="0.3">
      <c r="A421" s="3">
        <v>420</v>
      </c>
      <c r="B421" s="4">
        <v>45345</v>
      </c>
      <c r="C421" s="4" t="s">
        <v>63</v>
      </c>
      <c r="D421" s="5">
        <v>0.51875000000000004</v>
      </c>
      <c r="E421" s="3" t="s">
        <v>31</v>
      </c>
      <c r="F421" s="3" t="s">
        <v>24</v>
      </c>
      <c r="G421" s="3" t="s">
        <v>13</v>
      </c>
      <c r="H421" s="3" t="s">
        <v>40</v>
      </c>
      <c r="I421" s="3" t="s">
        <v>19</v>
      </c>
      <c r="J421" s="3" t="s">
        <v>22</v>
      </c>
      <c r="K421" s="4">
        <v>45347</v>
      </c>
      <c r="L421" s="1">
        <v>5</v>
      </c>
      <c r="M421" s="3" t="s">
        <v>25</v>
      </c>
    </row>
    <row r="422" spans="1:13" x14ac:dyDescent="0.3">
      <c r="A422" s="3">
        <v>421</v>
      </c>
      <c r="B422" s="4">
        <v>45169</v>
      </c>
      <c r="C422" s="4" t="s">
        <v>69</v>
      </c>
      <c r="D422" s="5">
        <v>0.51736111111111116</v>
      </c>
      <c r="E422" s="3" t="s">
        <v>31</v>
      </c>
      <c r="F422" s="3" t="s">
        <v>24</v>
      </c>
      <c r="G422" s="3" t="s">
        <v>39</v>
      </c>
      <c r="H422" s="3" t="s">
        <v>15</v>
      </c>
      <c r="I422" s="3" t="s">
        <v>17</v>
      </c>
      <c r="J422" s="3" t="s">
        <v>22</v>
      </c>
      <c r="K422" s="4">
        <v>45171</v>
      </c>
      <c r="L422" s="1">
        <v>9</v>
      </c>
      <c r="M422" s="3" t="s">
        <v>43</v>
      </c>
    </row>
    <row r="423" spans="1:13" x14ac:dyDescent="0.3">
      <c r="A423" s="3">
        <v>422</v>
      </c>
      <c r="B423" s="4">
        <v>45070</v>
      </c>
      <c r="C423" s="4" t="s">
        <v>54</v>
      </c>
      <c r="D423" s="5">
        <v>0.58402777777777781</v>
      </c>
      <c r="E423" s="3" t="s">
        <v>26</v>
      </c>
      <c r="F423" s="3" t="s">
        <v>24</v>
      </c>
      <c r="G423" s="3" t="s">
        <v>14</v>
      </c>
      <c r="H423" s="3" t="s">
        <v>40</v>
      </c>
      <c r="I423" s="3" t="s">
        <v>17</v>
      </c>
      <c r="J423" s="3" t="s">
        <v>22</v>
      </c>
      <c r="K423" s="4">
        <v>45072</v>
      </c>
      <c r="L423" s="1">
        <v>16</v>
      </c>
      <c r="M423" s="3" t="s">
        <v>43</v>
      </c>
    </row>
    <row r="424" spans="1:13" x14ac:dyDescent="0.3">
      <c r="A424" s="3">
        <v>423</v>
      </c>
      <c r="B424" s="4">
        <v>45529</v>
      </c>
      <c r="C424" s="4" t="s">
        <v>64</v>
      </c>
      <c r="D424" s="5">
        <v>0.24791666666666667</v>
      </c>
      <c r="E424" s="3" t="s">
        <v>27</v>
      </c>
      <c r="F424" s="3" t="s">
        <v>24</v>
      </c>
      <c r="G424" s="3" t="s">
        <v>14</v>
      </c>
      <c r="H424" s="3" t="s">
        <v>16</v>
      </c>
      <c r="I424" s="3" t="s">
        <v>19</v>
      </c>
      <c r="J424" s="3" t="s">
        <v>22</v>
      </c>
      <c r="K424" s="4">
        <v>45530</v>
      </c>
      <c r="L424" s="1">
        <v>7</v>
      </c>
      <c r="M424" s="3" t="s">
        <v>43</v>
      </c>
    </row>
    <row r="425" spans="1:13" x14ac:dyDescent="0.3">
      <c r="A425" s="3">
        <v>424</v>
      </c>
      <c r="B425" s="4">
        <v>44955</v>
      </c>
      <c r="C425" s="4" t="s">
        <v>49</v>
      </c>
      <c r="D425" s="5">
        <v>0.27916666666666667</v>
      </c>
      <c r="E425" s="3" t="s">
        <v>32</v>
      </c>
      <c r="F425" s="3" t="s">
        <v>24</v>
      </c>
      <c r="G425" s="3" t="s">
        <v>38</v>
      </c>
      <c r="H425" s="3" t="s">
        <v>41</v>
      </c>
      <c r="I425" s="3" t="s">
        <v>18</v>
      </c>
      <c r="J425" s="3" t="s">
        <v>22</v>
      </c>
      <c r="K425" s="4">
        <v>44955</v>
      </c>
      <c r="L425" s="1">
        <v>20</v>
      </c>
      <c r="M425" s="3" t="s">
        <v>43</v>
      </c>
    </row>
    <row r="426" spans="1:13" x14ac:dyDescent="0.3">
      <c r="A426" s="3">
        <v>425</v>
      </c>
      <c r="B426" s="4">
        <v>45026</v>
      </c>
      <c r="C426" s="4" t="s">
        <v>55</v>
      </c>
      <c r="D426" s="5">
        <v>2.5000000000000001E-2</v>
      </c>
      <c r="E426" s="3" t="s">
        <v>23</v>
      </c>
      <c r="F426" s="3" t="s">
        <v>24</v>
      </c>
      <c r="G426" s="3" t="s">
        <v>37</v>
      </c>
      <c r="H426" s="3" t="s">
        <v>15</v>
      </c>
      <c r="I426" s="3" t="s">
        <v>18</v>
      </c>
      <c r="J426" s="3" t="s">
        <v>21</v>
      </c>
      <c r="K426" s="4" t="s">
        <v>42</v>
      </c>
      <c r="L426" s="1" t="s">
        <v>42</v>
      </c>
      <c r="M426" s="3" t="s">
        <v>43</v>
      </c>
    </row>
    <row r="427" spans="1:13" x14ac:dyDescent="0.3">
      <c r="A427" s="3">
        <v>426</v>
      </c>
      <c r="B427" s="4">
        <v>45170</v>
      </c>
      <c r="C427" s="4" t="s">
        <v>51</v>
      </c>
      <c r="D427" s="5">
        <v>0.55833333333333335</v>
      </c>
      <c r="E427" s="3" t="s">
        <v>29</v>
      </c>
      <c r="F427" s="3" t="s">
        <v>24</v>
      </c>
      <c r="G427" s="3" t="s">
        <v>14</v>
      </c>
      <c r="H427" s="3" t="s">
        <v>15</v>
      </c>
      <c r="I427" s="3" t="s">
        <v>18</v>
      </c>
      <c r="J427" s="3" t="s">
        <v>22</v>
      </c>
      <c r="K427" s="4">
        <v>45172</v>
      </c>
      <c r="L427" s="1">
        <v>18</v>
      </c>
      <c r="M427" s="3" t="s">
        <v>43</v>
      </c>
    </row>
    <row r="428" spans="1:13" x14ac:dyDescent="0.3">
      <c r="A428" s="3">
        <v>427</v>
      </c>
      <c r="B428" s="4">
        <v>45070</v>
      </c>
      <c r="C428" s="4" t="s">
        <v>54</v>
      </c>
      <c r="D428" s="5">
        <v>0.6381944444444444</v>
      </c>
      <c r="E428" s="3" t="s">
        <v>36</v>
      </c>
      <c r="F428" s="3" t="s">
        <v>24</v>
      </c>
      <c r="G428" s="3" t="s">
        <v>12</v>
      </c>
      <c r="H428" s="3" t="s">
        <v>41</v>
      </c>
      <c r="I428" s="3" t="s">
        <v>18</v>
      </c>
      <c r="J428" s="3" t="s">
        <v>22</v>
      </c>
      <c r="K428" s="4">
        <v>45072</v>
      </c>
      <c r="L428" s="1">
        <v>6</v>
      </c>
      <c r="M428" s="3" t="s">
        <v>25</v>
      </c>
    </row>
    <row r="429" spans="1:13" x14ac:dyDescent="0.3">
      <c r="A429" s="3">
        <v>428</v>
      </c>
      <c r="B429" s="4">
        <v>45033</v>
      </c>
      <c r="C429" s="4" t="s">
        <v>55</v>
      </c>
      <c r="D429" s="5">
        <v>0.39861111111111114</v>
      </c>
      <c r="E429" s="3" t="s">
        <v>30</v>
      </c>
      <c r="F429" s="3" t="s">
        <v>24</v>
      </c>
      <c r="G429" s="3" t="s">
        <v>13</v>
      </c>
      <c r="H429" s="3" t="s">
        <v>41</v>
      </c>
      <c r="I429" s="3" t="s">
        <v>17</v>
      </c>
      <c r="J429" s="3" t="s">
        <v>21</v>
      </c>
      <c r="K429" s="4" t="s">
        <v>42</v>
      </c>
      <c r="L429" s="1" t="s">
        <v>42</v>
      </c>
      <c r="M429" s="3" t="s">
        <v>25</v>
      </c>
    </row>
    <row r="430" spans="1:13" x14ac:dyDescent="0.3">
      <c r="A430" s="3">
        <v>429</v>
      </c>
      <c r="B430" s="4">
        <v>45198</v>
      </c>
      <c r="C430" s="4" t="s">
        <v>51</v>
      </c>
      <c r="D430" s="5">
        <v>0.82499999999999996</v>
      </c>
      <c r="E430" s="3" t="s">
        <v>29</v>
      </c>
      <c r="F430" s="3" t="s">
        <v>24</v>
      </c>
      <c r="G430" s="3" t="s">
        <v>13</v>
      </c>
      <c r="H430" s="3" t="s">
        <v>41</v>
      </c>
      <c r="I430" s="3" t="s">
        <v>18</v>
      </c>
      <c r="J430" s="3" t="s">
        <v>22</v>
      </c>
      <c r="K430" s="4">
        <v>45200</v>
      </c>
      <c r="L430" s="1">
        <v>4</v>
      </c>
      <c r="M430" s="3" t="s">
        <v>25</v>
      </c>
    </row>
    <row r="431" spans="1:13" x14ac:dyDescent="0.3">
      <c r="A431" s="3">
        <v>430</v>
      </c>
      <c r="B431" s="4">
        <v>45282</v>
      </c>
      <c r="C431" s="4" t="s">
        <v>60</v>
      </c>
      <c r="D431" s="5">
        <v>0.79236111111111107</v>
      </c>
      <c r="E431" s="3" t="s">
        <v>36</v>
      </c>
      <c r="F431" s="3" t="s">
        <v>24</v>
      </c>
      <c r="G431" s="3" t="s">
        <v>13</v>
      </c>
      <c r="H431" s="3" t="s">
        <v>40</v>
      </c>
      <c r="I431" s="3" t="s">
        <v>17</v>
      </c>
      <c r="J431" s="3" t="s">
        <v>22</v>
      </c>
      <c r="K431" s="4">
        <v>45282</v>
      </c>
      <c r="L431" s="1">
        <v>15</v>
      </c>
      <c r="M431" s="3" t="s">
        <v>25</v>
      </c>
    </row>
    <row r="432" spans="1:13" x14ac:dyDescent="0.3">
      <c r="A432" s="3">
        <v>431</v>
      </c>
      <c r="B432" s="4">
        <v>45551</v>
      </c>
      <c r="C432" s="4" t="s">
        <v>66</v>
      </c>
      <c r="D432" s="5">
        <v>0.85069444444444453</v>
      </c>
      <c r="E432" s="3" t="s">
        <v>32</v>
      </c>
      <c r="F432" s="3" t="s">
        <v>24</v>
      </c>
      <c r="G432" s="3" t="s">
        <v>39</v>
      </c>
      <c r="H432" s="3" t="s">
        <v>41</v>
      </c>
      <c r="I432" s="3" t="s">
        <v>19</v>
      </c>
      <c r="J432" s="3" t="s">
        <v>22</v>
      </c>
      <c r="K432" s="4">
        <v>45553</v>
      </c>
      <c r="L432" s="1">
        <v>5</v>
      </c>
      <c r="M432" s="3" t="s">
        <v>43</v>
      </c>
    </row>
    <row r="433" spans="1:13" x14ac:dyDescent="0.3">
      <c r="A433" s="3">
        <v>432</v>
      </c>
      <c r="B433" s="4">
        <v>45131</v>
      </c>
      <c r="C433" s="4" t="s">
        <v>53</v>
      </c>
      <c r="D433" s="5">
        <v>0.14374999999999999</v>
      </c>
      <c r="E433" s="3" t="s">
        <v>26</v>
      </c>
      <c r="F433" s="3" t="s">
        <v>24</v>
      </c>
      <c r="G433" s="3" t="s">
        <v>39</v>
      </c>
      <c r="H433" s="3" t="s">
        <v>40</v>
      </c>
      <c r="I433" s="3" t="s">
        <v>18</v>
      </c>
      <c r="J433" s="3" t="s">
        <v>22</v>
      </c>
      <c r="K433" s="4">
        <v>45133</v>
      </c>
      <c r="L433" s="1">
        <v>21</v>
      </c>
      <c r="M433" s="3" t="s">
        <v>43</v>
      </c>
    </row>
    <row r="434" spans="1:13" x14ac:dyDescent="0.3">
      <c r="A434" s="3">
        <v>433</v>
      </c>
      <c r="B434" s="4">
        <v>45116</v>
      </c>
      <c r="C434" s="4" t="s">
        <v>53</v>
      </c>
      <c r="D434" s="5">
        <v>3.0555555555555555E-2</v>
      </c>
      <c r="E434" s="3" t="s">
        <v>30</v>
      </c>
      <c r="F434" s="3" t="s">
        <v>24</v>
      </c>
      <c r="G434" s="3" t="s">
        <v>13</v>
      </c>
      <c r="H434" s="3" t="s">
        <v>15</v>
      </c>
      <c r="I434" s="3" t="s">
        <v>17</v>
      </c>
      <c r="J434" s="3" t="s">
        <v>22</v>
      </c>
      <c r="K434" s="4">
        <v>45117</v>
      </c>
      <c r="L434" s="1">
        <v>20</v>
      </c>
      <c r="M434" s="3" t="s">
        <v>25</v>
      </c>
    </row>
    <row r="435" spans="1:13" x14ac:dyDescent="0.3">
      <c r="A435" s="3">
        <v>434</v>
      </c>
      <c r="B435" s="4">
        <v>45070</v>
      </c>
      <c r="C435" s="4" t="s">
        <v>54</v>
      </c>
      <c r="D435" s="5">
        <v>0.33194444444444449</v>
      </c>
      <c r="E435" s="3" t="s">
        <v>30</v>
      </c>
      <c r="F435" s="3" t="s">
        <v>24</v>
      </c>
      <c r="G435" s="3" t="s">
        <v>13</v>
      </c>
      <c r="H435" s="3" t="s">
        <v>16</v>
      </c>
      <c r="I435" s="3" t="s">
        <v>18</v>
      </c>
      <c r="J435" s="3" t="s">
        <v>22</v>
      </c>
      <c r="K435" s="4">
        <v>45070</v>
      </c>
      <c r="L435" s="1">
        <v>16</v>
      </c>
      <c r="M435" s="3" t="s">
        <v>25</v>
      </c>
    </row>
    <row r="436" spans="1:13" x14ac:dyDescent="0.3">
      <c r="A436" s="3">
        <v>435</v>
      </c>
      <c r="B436" s="4">
        <v>45572</v>
      </c>
      <c r="C436" s="4" t="s">
        <v>67</v>
      </c>
      <c r="D436" s="5">
        <v>0.51736111111111116</v>
      </c>
      <c r="E436" s="3" t="s">
        <v>35</v>
      </c>
      <c r="F436" s="3" t="s">
        <v>24</v>
      </c>
      <c r="G436" s="3" t="s">
        <v>14</v>
      </c>
      <c r="H436" s="3" t="s">
        <v>16</v>
      </c>
      <c r="I436" s="3" t="s">
        <v>19</v>
      </c>
      <c r="J436" s="3" t="s">
        <v>22</v>
      </c>
      <c r="K436" s="4">
        <v>45572</v>
      </c>
      <c r="L436" s="1">
        <v>14</v>
      </c>
      <c r="M436" s="3" t="s">
        <v>43</v>
      </c>
    </row>
    <row r="437" spans="1:13" x14ac:dyDescent="0.3">
      <c r="A437" s="3">
        <v>436</v>
      </c>
      <c r="B437" s="4">
        <v>45539</v>
      </c>
      <c r="C437" s="4" t="s">
        <v>66</v>
      </c>
      <c r="D437" s="5">
        <v>0.88541666666666663</v>
      </c>
      <c r="E437" s="3" t="s">
        <v>36</v>
      </c>
      <c r="F437" s="3" t="s">
        <v>24</v>
      </c>
      <c r="G437" s="3" t="s">
        <v>14</v>
      </c>
      <c r="H437" s="3" t="s">
        <v>16</v>
      </c>
      <c r="I437" s="3" t="s">
        <v>18</v>
      </c>
      <c r="J437" s="3" t="s">
        <v>20</v>
      </c>
      <c r="K437" s="4" t="s">
        <v>42</v>
      </c>
      <c r="L437" s="1" t="s">
        <v>42</v>
      </c>
      <c r="M437" s="3" t="s">
        <v>43</v>
      </c>
    </row>
    <row r="438" spans="1:13" x14ac:dyDescent="0.3">
      <c r="A438" s="3">
        <v>437</v>
      </c>
      <c r="B438" s="4">
        <v>45261</v>
      </c>
      <c r="C438" s="4" t="s">
        <v>60</v>
      </c>
      <c r="D438" s="5">
        <v>0.49930555555555556</v>
      </c>
      <c r="E438" s="3" t="s">
        <v>26</v>
      </c>
      <c r="F438" s="3" t="s">
        <v>24</v>
      </c>
      <c r="G438" s="3" t="s">
        <v>14</v>
      </c>
      <c r="H438" s="3" t="s">
        <v>41</v>
      </c>
      <c r="I438" s="3" t="s">
        <v>19</v>
      </c>
      <c r="J438" s="3" t="s">
        <v>21</v>
      </c>
      <c r="K438" s="4" t="s">
        <v>42</v>
      </c>
      <c r="L438" s="1" t="s">
        <v>42</v>
      </c>
      <c r="M438" s="3" t="s">
        <v>43</v>
      </c>
    </row>
    <row r="439" spans="1:13" x14ac:dyDescent="0.3">
      <c r="A439" s="3">
        <v>438</v>
      </c>
      <c r="B439" s="4">
        <v>45299</v>
      </c>
      <c r="C439" s="4" t="s">
        <v>52</v>
      </c>
      <c r="D439" s="5">
        <v>0.60208333333333341</v>
      </c>
      <c r="E439" s="3" t="s">
        <v>33</v>
      </c>
      <c r="F439" s="3" t="s">
        <v>24</v>
      </c>
      <c r="G439" s="3" t="s">
        <v>37</v>
      </c>
      <c r="H439" s="3" t="s">
        <v>16</v>
      </c>
      <c r="I439" s="3" t="s">
        <v>17</v>
      </c>
      <c r="J439" s="3" t="s">
        <v>22</v>
      </c>
      <c r="K439" s="4">
        <v>45300</v>
      </c>
      <c r="L439" s="1">
        <v>13</v>
      </c>
      <c r="M439" s="3" t="s">
        <v>43</v>
      </c>
    </row>
    <row r="440" spans="1:13" x14ac:dyDescent="0.3">
      <c r="A440" s="3">
        <v>439</v>
      </c>
      <c r="B440" s="4">
        <v>45556</v>
      </c>
      <c r="C440" s="4" t="s">
        <v>66</v>
      </c>
      <c r="D440" s="5">
        <v>0.54930555555555549</v>
      </c>
      <c r="E440" s="3" t="s">
        <v>30</v>
      </c>
      <c r="F440" s="3" t="s">
        <v>24</v>
      </c>
      <c r="G440" s="3" t="s">
        <v>13</v>
      </c>
      <c r="H440" s="3" t="s">
        <v>15</v>
      </c>
      <c r="I440" s="3" t="s">
        <v>19</v>
      </c>
      <c r="J440" s="3" t="s">
        <v>21</v>
      </c>
      <c r="K440" s="4" t="s">
        <v>42</v>
      </c>
      <c r="L440" s="1" t="s">
        <v>42</v>
      </c>
      <c r="M440" s="3" t="s">
        <v>25</v>
      </c>
    </row>
    <row r="441" spans="1:13" x14ac:dyDescent="0.3">
      <c r="A441" s="3">
        <v>440</v>
      </c>
      <c r="B441" s="4">
        <v>45212</v>
      </c>
      <c r="C441" s="4" t="s">
        <v>56</v>
      </c>
      <c r="D441" s="5">
        <v>0.84722222222222221</v>
      </c>
      <c r="E441" s="3" t="s">
        <v>27</v>
      </c>
      <c r="F441" s="3" t="s">
        <v>24</v>
      </c>
      <c r="G441" s="3" t="s">
        <v>39</v>
      </c>
      <c r="H441" s="3" t="s">
        <v>40</v>
      </c>
      <c r="I441" s="3" t="s">
        <v>17</v>
      </c>
      <c r="J441" s="3" t="s">
        <v>21</v>
      </c>
      <c r="K441" s="4" t="s">
        <v>42</v>
      </c>
      <c r="L441" s="1" t="s">
        <v>42</v>
      </c>
      <c r="M441" s="3" t="s">
        <v>43</v>
      </c>
    </row>
    <row r="442" spans="1:13" x14ac:dyDescent="0.3">
      <c r="A442" s="3">
        <v>441</v>
      </c>
      <c r="B442" s="4">
        <v>45568</v>
      </c>
      <c r="C442" s="4" t="s">
        <v>67</v>
      </c>
      <c r="D442" s="5">
        <v>0.1673611111111111</v>
      </c>
      <c r="E442" s="3" t="s">
        <v>36</v>
      </c>
      <c r="F442" s="3" t="s">
        <v>24</v>
      </c>
      <c r="G442" s="3" t="s">
        <v>13</v>
      </c>
      <c r="H442" s="3" t="s">
        <v>40</v>
      </c>
      <c r="I442" s="3" t="s">
        <v>18</v>
      </c>
      <c r="J442" s="3" t="s">
        <v>22</v>
      </c>
      <c r="K442" s="4">
        <v>45568</v>
      </c>
      <c r="L442" s="1">
        <v>21</v>
      </c>
      <c r="M442" s="3" t="s">
        <v>25</v>
      </c>
    </row>
    <row r="443" spans="1:13" x14ac:dyDescent="0.3">
      <c r="A443" s="3">
        <v>442</v>
      </c>
      <c r="B443" s="4">
        <v>45321</v>
      </c>
      <c r="C443" s="4" t="s">
        <v>52</v>
      </c>
      <c r="D443" s="5">
        <v>0.37222222222222223</v>
      </c>
      <c r="E443" s="3" t="s">
        <v>28</v>
      </c>
      <c r="F443" s="3" t="s">
        <v>24</v>
      </c>
      <c r="G443" s="3" t="s">
        <v>39</v>
      </c>
      <c r="H443" s="3" t="s">
        <v>40</v>
      </c>
      <c r="I443" s="3" t="s">
        <v>18</v>
      </c>
      <c r="J443" s="3" t="s">
        <v>22</v>
      </c>
      <c r="K443" s="4">
        <v>45321</v>
      </c>
      <c r="L443" s="1">
        <v>8</v>
      </c>
      <c r="M443" s="3" t="s">
        <v>43</v>
      </c>
    </row>
    <row r="444" spans="1:13" x14ac:dyDescent="0.3">
      <c r="A444" s="3">
        <v>443</v>
      </c>
      <c r="B444" s="4">
        <v>45425</v>
      </c>
      <c r="C444" s="4" t="s">
        <v>47</v>
      </c>
      <c r="D444" s="5">
        <v>0.25694444444444442</v>
      </c>
      <c r="E444" s="3" t="s">
        <v>27</v>
      </c>
      <c r="F444" s="3" t="s">
        <v>24</v>
      </c>
      <c r="G444" s="3" t="s">
        <v>39</v>
      </c>
      <c r="H444" s="3" t="s">
        <v>40</v>
      </c>
      <c r="I444" s="3" t="s">
        <v>18</v>
      </c>
      <c r="J444" s="3" t="s">
        <v>22</v>
      </c>
      <c r="K444" s="4">
        <v>45425</v>
      </c>
      <c r="L444" s="1">
        <v>15</v>
      </c>
      <c r="M444" s="3" t="s">
        <v>43</v>
      </c>
    </row>
    <row r="445" spans="1:13" x14ac:dyDescent="0.3">
      <c r="A445" s="3">
        <v>444</v>
      </c>
      <c r="B445" s="4">
        <v>45439</v>
      </c>
      <c r="C445" s="4" t="s">
        <v>47</v>
      </c>
      <c r="D445" s="5">
        <v>0.54652777777777772</v>
      </c>
      <c r="E445" s="3" t="s">
        <v>30</v>
      </c>
      <c r="F445" s="3" t="s">
        <v>24</v>
      </c>
      <c r="G445" s="3" t="s">
        <v>38</v>
      </c>
      <c r="H445" s="3" t="s">
        <v>41</v>
      </c>
      <c r="I445" s="3" t="s">
        <v>18</v>
      </c>
      <c r="J445" s="3" t="s">
        <v>20</v>
      </c>
      <c r="K445" s="4" t="s">
        <v>42</v>
      </c>
      <c r="L445" s="1" t="s">
        <v>42</v>
      </c>
      <c r="M445" s="3" t="s">
        <v>43</v>
      </c>
    </row>
    <row r="446" spans="1:13" x14ac:dyDescent="0.3">
      <c r="A446" s="3">
        <v>445</v>
      </c>
      <c r="B446" s="4">
        <v>45603</v>
      </c>
      <c r="C446" s="4" t="s">
        <v>68</v>
      </c>
      <c r="D446" s="5">
        <v>0.57291666666666663</v>
      </c>
      <c r="E446" s="3" t="s">
        <v>31</v>
      </c>
      <c r="F446" s="3" t="s">
        <v>24</v>
      </c>
      <c r="G446" s="3" t="s">
        <v>12</v>
      </c>
      <c r="H446" s="3" t="s">
        <v>40</v>
      </c>
      <c r="I446" s="3" t="s">
        <v>18</v>
      </c>
      <c r="J446" s="3" t="s">
        <v>22</v>
      </c>
      <c r="K446" s="4">
        <v>45603</v>
      </c>
      <c r="L446" s="1">
        <v>15</v>
      </c>
      <c r="M446" s="3" t="s">
        <v>25</v>
      </c>
    </row>
    <row r="447" spans="1:13" x14ac:dyDescent="0.3">
      <c r="A447" s="3">
        <v>446</v>
      </c>
      <c r="B447" s="4">
        <v>45556</v>
      </c>
      <c r="C447" s="4" t="s">
        <v>66</v>
      </c>
      <c r="D447" s="5">
        <v>0.66041666666666665</v>
      </c>
      <c r="E447" s="3" t="s">
        <v>34</v>
      </c>
      <c r="F447" s="3" t="s">
        <v>24</v>
      </c>
      <c r="G447" s="3" t="s">
        <v>12</v>
      </c>
      <c r="H447" s="3" t="s">
        <v>41</v>
      </c>
      <c r="I447" s="3" t="s">
        <v>19</v>
      </c>
      <c r="J447" s="3" t="s">
        <v>20</v>
      </c>
      <c r="K447" s="4" t="s">
        <v>42</v>
      </c>
      <c r="L447" s="1" t="s">
        <v>42</v>
      </c>
      <c r="M447" s="3" t="s">
        <v>25</v>
      </c>
    </row>
    <row r="448" spans="1:13" x14ac:dyDescent="0.3">
      <c r="A448" s="3">
        <v>447</v>
      </c>
      <c r="B448" s="4">
        <v>45236</v>
      </c>
      <c r="C448" s="4" t="s">
        <v>46</v>
      </c>
      <c r="D448" s="5">
        <v>0.68472222222222223</v>
      </c>
      <c r="E448" s="3" t="s">
        <v>32</v>
      </c>
      <c r="F448" s="3" t="s">
        <v>24</v>
      </c>
      <c r="G448" s="3" t="s">
        <v>39</v>
      </c>
      <c r="H448" s="3" t="s">
        <v>15</v>
      </c>
      <c r="I448" s="3" t="s">
        <v>17</v>
      </c>
      <c r="J448" s="3" t="s">
        <v>22</v>
      </c>
      <c r="K448" s="4">
        <v>45236</v>
      </c>
      <c r="L448" s="1">
        <v>21</v>
      </c>
      <c r="M448" s="3" t="s">
        <v>43</v>
      </c>
    </row>
    <row r="449" spans="1:13" x14ac:dyDescent="0.3">
      <c r="A449" s="3">
        <v>448</v>
      </c>
      <c r="B449" s="4">
        <v>45643</v>
      </c>
      <c r="C449" s="4" t="s">
        <v>59</v>
      </c>
      <c r="D449" s="5">
        <v>0.81388888888888888</v>
      </c>
      <c r="E449" s="3" t="s">
        <v>32</v>
      </c>
      <c r="F449" s="3" t="s">
        <v>24</v>
      </c>
      <c r="G449" s="3" t="s">
        <v>39</v>
      </c>
      <c r="H449" s="3" t="s">
        <v>16</v>
      </c>
      <c r="I449" s="3" t="s">
        <v>18</v>
      </c>
      <c r="J449" s="3" t="s">
        <v>20</v>
      </c>
      <c r="K449" s="4" t="s">
        <v>42</v>
      </c>
      <c r="L449" s="1" t="s">
        <v>42</v>
      </c>
      <c r="M449" s="3" t="s">
        <v>43</v>
      </c>
    </row>
    <row r="450" spans="1:13" x14ac:dyDescent="0.3">
      <c r="A450" s="3">
        <v>449</v>
      </c>
      <c r="B450" s="4">
        <v>45157</v>
      </c>
      <c r="C450" s="4" t="s">
        <v>69</v>
      </c>
      <c r="D450" s="5">
        <v>0.65486111111111112</v>
      </c>
      <c r="E450" s="3" t="s">
        <v>30</v>
      </c>
      <c r="F450" s="3" t="s">
        <v>24</v>
      </c>
      <c r="G450" s="3" t="s">
        <v>14</v>
      </c>
      <c r="H450" s="3" t="s">
        <v>15</v>
      </c>
      <c r="I450" s="3" t="s">
        <v>19</v>
      </c>
      <c r="J450" s="3" t="s">
        <v>20</v>
      </c>
      <c r="K450" s="4" t="s">
        <v>42</v>
      </c>
      <c r="L450" s="1" t="s">
        <v>42</v>
      </c>
      <c r="M450" s="3" t="s">
        <v>43</v>
      </c>
    </row>
    <row r="451" spans="1:13" x14ac:dyDescent="0.3">
      <c r="A451" s="3">
        <v>450</v>
      </c>
      <c r="B451" s="4">
        <v>45529</v>
      </c>
      <c r="C451" s="4" t="s">
        <v>64</v>
      </c>
      <c r="D451" s="5">
        <v>0.45277777777777778</v>
      </c>
      <c r="E451" s="3" t="s">
        <v>26</v>
      </c>
      <c r="F451" s="3" t="s">
        <v>24</v>
      </c>
      <c r="G451" s="3" t="s">
        <v>13</v>
      </c>
      <c r="H451" s="3" t="s">
        <v>15</v>
      </c>
      <c r="I451" s="3" t="s">
        <v>18</v>
      </c>
      <c r="J451" s="3" t="s">
        <v>21</v>
      </c>
      <c r="K451" s="4" t="s">
        <v>42</v>
      </c>
      <c r="L451" s="1" t="s">
        <v>42</v>
      </c>
      <c r="M451" s="3" t="s">
        <v>25</v>
      </c>
    </row>
    <row r="452" spans="1:13" x14ac:dyDescent="0.3">
      <c r="A452" s="3">
        <v>451</v>
      </c>
      <c r="B452" s="4">
        <v>45062</v>
      </c>
      <c r="C452" s="4" t="s">
        <v>54</v>
      </c>
      <c r="D452" s="5">
        <v>0.77013888888888893</v>
      </c>
      <c r="E452" s="3" t="s">
        <v>26</v>
      </c>
      <c r="F452" s="3" t="s">
        <v>24</v>
      </c>
      <c r="G452" s="3" t="s">
        <v>12</v>
      </c>
      <c r="H452" s="3" t="s">
        <v>40</v>
      </c>
      <c r="I452" s="3" t="s">
        <v>18</v>
      </c>
      <c r="J452" s="3" t="s">
        <v>22</v>
      </c>
      <c r="K452" s="4">
        <v>45064</v>
      </c>
      <c r="L452" s="1">
        <v>21</v>
      </c>
      <c r="M452" s="3" t="s">
        <v>25</v>
      </c>
    </row>
    <row r="453" spans="1:13" x14ac:dyDescent="0.3">
      <c r="A453" s="3">
        <v>452</v>
      </c>
      <c r="B453" s="4">
        <v>45259</v>
      </c>
      <c r="C453" s="4" t="s">
        <v>46</v>
      </c>
      <c r="D453" s="5">
        <v>0.35972222222222222</v>
      </c>
      <c r="E453" s="3" t="s">
        <v>34</v>
      </c>
      <c r="F453" s="3" t="s">
        <v>24</v>
      </c>
      <c r="G453" s="3" t="s">
        <v>37</v>
      </c>
      <c r="H453" s="3" t="s">
        <v>41</v>
      </c>
      <c r="I453" s="3" t="s">
        <v>18</v>
      </c>
      <c r="J453" s="3" t="s">
        <v>22</v>
      </c>
      <c r="K453" s="4">
        <v>45261</v>
      </c>
      <c r="L453" s="1">
        <v>7</v>
      </c>
      <c r="M453" s="3" t="s">
        <v>43</v>
      </c>
    </row>
    <row r="454" spans="1:13" x14ac:dyDescent="0.3">
      <c r="A454" s="3">
        <v>453</v>
      </c>
      <c r="B454" s="4">
        <v>45323</v>
      </c>
      <c r="C454" s="4" t="s">
        <v>63</v>
      </c>
      <c r="D454" s="5">
        <v>0.46944444444444444</v>
      </c>
      <c r="E454" s="3" t="s">
        <v>32</v>
      </c>
      <c r="F454" s="3" t="s">
        <v>24</v>
      </c>
      <c r="G454" s="3" t="s">
        <v>38</v>
      </c>
      <c r="H454" s="3" t="s">
        <v>15</v>
      </c>
      <c r="I454" s="3" t="s">
        <v>18</v>
      </c>
      <c r="J454" s="3" t="s">
        <v>22</v>
      </c>
      <c r="K454" s="4">
        <v>45324</v>
      </c>
      <c r="L454" s="1">
        <v>16</v>
      </c>
      <c r="M454" s="3" t="s">
        <v>43</v>
      </c>
    </row>
    <row r="455" spans="1:13" x14ac:dyDescent="0.3">
      <c r="A455" s="3">
        <v>454</v>
      </c>
      <c r="B455" s="4">
        <v>45047</v>
      </c>
      <c r="C455" s="4" t="s">
        <v>54</v>
      </c>
      <c r="D455" s="5">
        <v>0.95277777777777772</v>
      </c>
      <c r="E455" s="3" t="s">
        <v>35</v>
      </c>
      <c r="F455" s="3" t="s">
        <v>24</v>
      </c>
      <c r="G455" s="3" t="s">
        <v>14</v>
      </c>
      <c r="H455" s="3" t="s">
        <v>16</v>
      </c>
      <c r="I455" s="3" t="s">
        <v>17</v>
      </c>
      <c r="J455" s="3" t="s">
        <v>22</v>
      </c>
      <c r="K455" s="4">
        <v>45048</v>
      </c>
      <c r="L455" s="1">
        <v>17</v>
      </c>
      <c r="M455" s="3" t="s">
        <v>43</v>
      </c>
    </row>
    <row r="456" spans="1:13" x14ac:dyDescent="0.3">
      <c r="A456" s="3">
        <v>455</v>
      </c>
      <c r="B456" s="4">
        <v>45011</v>
      </c>
      <c r="C456" s="4" t="s">
        <v>48</v>
      </c>
      <c r="D456" s="5">
        <v>0.26597222222222222</v>
      </c>
      <c r="E456" s="3" t="s">
        <v>28</v>
      </c>
      <c r="F456" s="3" t="s">
        <v>24</v>
      </c>
      <c r="G456" s="3" t="s">
        <v>38</v>
      </c>
      <c r="H456" s="3" t="s">
        <v>16</v>
      </c>
      <c r="I456" s="3" t="s">
        <v>18</v>
      </c>
      <c r="J456" s="3" t="s">
        <v>22</v>
      </c>
      <c r="K456" s="4">
        <v>45013</v>
      </c>
      <c r="L456" s="1">
        <v>13</v>
      </c>
      <c r="M456" s="3" t="s">
        <v>43</v>
      </c>
    </row>
    <row r="457" spans="1:13" x14ac:dyDescent="0.3">
      <c r="A457" s="3">
        <v>456</v>
      </c>
      <c r="B457" s="4">
        <v>45142</v>
      </c>
      <c r="C457" s="4" t="s">
        <v>69</v>
      </c>
      <c r="D457" s="5">
        <v>0.22847222222222224</v>
      </c>
      <c r="E457" s="3" t="s">
        <v>29</v>
      </c>
      <c r="F457" s="3" t="s">
        <v>24</v>
      </c>
      <c r="G457" s="3" t="s">
        <v>38</v>
      </c>
      <c r="H457" s="3" t="s">
        <v>15</v>
      </c>
      <c r="I457" s="3" t="s">
        <v>18</v>
      </c>
      <c r="J457" s="3" t="s">
        <v>22</v>
      </c>
      <c r="K457" s="4">
        <v>45142</v>
      </c>
      <c r="L457" s="1">
        <v>9</v>
      </c>
      <c r="M457" s="3" t="s">
        <v>43</v>
      </c>
    </row>
    <row r="458" spans="1:13" x14ac:dyDescent="0.3">
      <c r="A458" s="3">
        <v>457</v>
      </c>
      <c r="B458" s="4">
        <v>45627</v>
      </c>
      <c r="C458" s="4" t="s">
        <v>59</v>
      </c>
      <c r="D458" s="5">
        <v>0.32569444444444445</v>
      </c>
      <c r="E458" s="3" t="s">
        <v>26</v>
      </c>
      <c r="F458" s="3" t="s">
        <v>24</v>
      </c>
      <c r="G458" s="3" t="s">
        <v>39</v>
      </c>
      <c r="H458" s="3" t="s">
        <v>15</v>
      </c>
      <c r="I458" s="3" t="s">
        <v>18</v>
      </c>
      <c r="J458" s="3" t="s">
        <v>20</v>
      </c>
      <c r="K458" s="4" t="s">
        <v>42</v>
      </c>
      <c r="L458" s="1" t="s">
        <v>42</v>
      </c>
      <c r="M458" s="3" t="s">
        <v>43</v>
      </c>
    </row>
    <row r="459" spans="1:13" x14ac:dyDescent="0.3">
      <c r="A459" s="3">
        <v>458</v>
      </c>
      <c r="B459" s="4">
        <v>45192</v>
      </c>
      <c r="C459" s="4" t="s">
        <v>51</v>
      </c>
      <c r="D459" s="5">
        <v>0.72916666666666674</v>
      </c>
      <c r="E459" s="3" t="s">
        <v>27</v>
      </c>
      <c r="F459" s="3" t="s">
        <v>24</v>
      </c>
      <c r="G459" s="3" t="s">
        <v>38</v>
      </c>
      <c r="H459" s="3" t="s">
        <v>15</v>
      </c>
      <c r="I459" s="3" t="s">
        <v>19</v>
      </c>
      <c r="J459" s="3" t="s">
        <v>22</v>
      </c>
      <c r="K459" s="4">
        <v>45193</v>
      </c>
      <c r="L459" s="1">
        <v>13</v>
      </c>
      <c r="M459" s="3" t="s">
        <v>43</v>
      </c>
    </row>
    <row r="460" spans="1:13" x14ac:dyDescent="0.3">
      <c r="A460" s="3">
        <v>459</v>
      </c>
      <c r="B460" s="4">
        <v>45569</v>
      </c>
      <c r="C460" s="4" t="s">
        <v>67</v>
      </c>
      <c r="D460" s="5">
        <v>0.62916666666666665</v>
      </c>
      <c r="E460" s="3" t="s">
        <v>29</v>
      </c>
      <c r="F460" s="3" t="s">
        <v>24</v>
      </c>
      <c r="G460" s="3" t="s">
        <v>39</v>
      </c>
      <c r="H460" s="3" t="s">
        <v>40</v>
      </c>
      <c r="I460" s="3" t="s">
        <v>18</v>
      </c>
      <c r="J460" s="3" t="s">
        <v>22</v>
      </c>
      <c r="K460" s="4">
        <v>45569</v>
      </c>
      <c r="L460" s="1">
        <v>5</v>
      </c>
      <c r="M460" s="3" t="s">
        <v>43</v>
      </c>
    </row>
    <row r="461" spans="1:13" x14ac:dyDescent="0.3">
      <c r="A461" s="3">
        <v>460</v>
      </c>
      <c r="B461" s="4">
        <v>45034</v>
      </c>
      <c r="C461" s="4" t="s">
        <v>55</v>
      </c>
      <c r="D461" s="5">
        <v>0.94722222222222219</v>
      </c>
      <c r="E461" s="3" t="s">
        <v>33</v>
      </c>
      <c r="F461" s="3" t="s">
        <v>24</v>
      </c>
      <c r="G461" s="3" t="s">
        <v>39</v>
      </c>
      <c r="H461" s="3" t="s">
        <v>41</v>
      </c>
      <c r="I461" s="3" t="s">
        <v>19</v>
      </c>
      <c r="J461" s="3" t="s">
        <v>22</v>
      </c>
      <c r="K461" s="4">
        <v>45035</v>
      </c>
      <c r="L461" s="1">
        <v>2</v>
      </c>
      <c r="M461" s="3" t="s">
        <v>43</v>
      </c>
    </row>
    <row r="462" spans="1:13" x14ac:dyDescent="0.3">
      <c r="A462" s="3">
        <v>461</v>
      </c>
      <c r="B462" s="4">
        <v>45483</v>
      </c>
      <c r="C462" s="4" t="s">
        <v>65</v>
      </c>
      <c r="D462" s="5">
        <v>0.22500000000000001</v>
      </c>
      <c r="E462" s="3" t="s">
        <v>35</v>
      </c>
      <c r="F462" s="3" t="s">
        <v>24</v>
      </c>
      <c r="G462" s="3" t="s">
        <v>39</v>
      </c>
      <c r="H462" s="3" t="s">
        <v>15</v>
      </c>
      <c r="I462" s="3" t="s">
        <v>19</v>
      </c>
      <c r="J462" s="3" t="s">
        <v>22</v>
      </c>
      <c r="K462" s="4">
        <v>45485</v>
      </c>
      <c r="L462" s="1">
        <v>23</v>
      </c>
      <c r="M462" s="3" t="s">
        <v>43</v>
      </c>
    </row>
    <row r="463" spans="1:13" x14ac:dyDescent="0.3">
      <c r="A463" s="3">
        <v>462</v>
      </c>
      <c r="B463" s="4">
        <v>45267</v>
      </c>
      <c r="C463" s="4" t="s">
        <v>60</v>
      </c>
      <c r="D463" s="5">
        <v>6.9444444444444441E-3</v>
      </c>
      <c r="E463" s="3" t="s">
        <v>36</v>
      </c>
      <c r="F463" s="3" t="s">
        <v>24</v>
      </c>
      <c r="G463" s="3" t="s">
        <v>37</v>
      </c>
      <c r="H463" s="3" t="s">
        <v>15</v>
      </c>
      <c r="I463" s="3" t="s">
        <v>17</v>
      </c>
      <c r="J463" s="3" t="s">
        <v>22</v>
      </c>
      <c r="K463" s="4">
        <v>45268</v>
      </c>
      <c r="L463" s="1">
        <v>23</v>
      </c>
      <c r="M463" s="3" t="s">
        <v>43</v>
      </c>
    </row>
    <row r="464" spans="1:13" x14ac:dyDescent="0.3">
      <c r="A464" s="3">
        <v>463</v>
      </c>
      <c r="B464" s="4">
        <v>45151</v>
      </c>
      <c r="C464" s="4" t="s">
        <v>69</v>
      </c>
      <c r="D464" s="5">
        <v>0.56527777777777777</v>
      </c>
      <c r="E464" s="3" t="s">
        <v>36</v>
      </c>
      <c r="F464" s="3" t="s">
        <v>24</v>
      </c>
      <c r="G464" s="3" t="s">
        <v>38</v>
      </c>
      <c r="H464" s="3" t="s">
        <v>41</v>
      </c>
      <c r="I464" s="3" t="s">
        <v>17</v>
      </c>
      <c r="J464" s="3" t="s">
        <v>22</v>
      </c>
      <c r="K464" s="4">
        <v>45151</v>
      </c>
      <c r="L464" s="1">
        <v>5</v>
      </c>
      <c r="M464" s="3" t="s">
        <v>43</v>
      </c>
    </row>
    <row r="465" spans="1:13" x14ac:dyDescent="0.3">
      <c r="A465" s="3">
        <v>464</v>
      </c>
      <c r="B465" s="4">
        <v>45525</v>
      </c>
      <c r="C465" s="4" t="s">
        <v>64</v>
      </c>
      <c r="D465" s="5">
        <v>0.50069444444444444</v>
      </c>
      <c r="E465" s="3" t="s">
        <v>28</v>
      </c>
      <c r="F465" s="3" t="s">
        <v>24</v>
      </c>
      <c r="G465" s="3" t="s">
        <v>37</v>
      </c>
      <c r="H465" s="3" t="s">
        <v>41</v>
      </c>
      <c r="I465" s="3" t="s">
        <v>18</v>
      </c>
      <c r="J465" s="3" t="s">
        <v>22</v>
      </c>
      <c r="K465" s="4">
        <v>45526</v>
      </c>
      <c r="L465" s="1">
        <v>14</v>
      </c>
      <c r="M465" s="3" t="s">
        <v>43</v>
      </c>
    </row>
    <row r="466" spans="1:13" x14ac:dyDescent="0.3">
      <c r="A466" s="3">
        <v>465</v>
      </c>
      <c r="B466" s="4">
        <v>45268</v>
      </c>
      <c r="C466" s="4" t="s">
        <v>60</v>
      </c>
      <c r="D466" s="5">
        <v>0.6381944444444444</v>
      </c>
      <c r="E466" s="3" t="s">
        <v>32</v>
      </c>
      <c r="F466" s="3" t="s">
        <v>24</v>
      </c>
      <c r="G466" s="3" t="s">
        <v>13</v>
      </c>
      <c r="H466" s="3" t="s">
        <v>41</v>
      </c>
      <c r="I466" s="3" t="s">
        <v>19</v>
      </c>
      <c r="J466" s="3" t="s">
        <v>22</v>
      </c>
      <c r="K466" s="4">
        <v>45268</v>
      </c>
      <c r="L466" s="1">
        <v>16</v>
      </c>
      <c r="M466" s="3" t="s">
        <v>25</v>
      </c>
    </row>
    <row r="467" spans="1:13" x14ac:dyDescent="0.3">
      <c r="A467" s="3">
        <v>466</v>
      </c>
      <c r="B467" s="4">
        <v>45004</v>
      </c>
      <c r="C467" s="4" t="s">
        <v>48</v>
      </c>
      <c r="D467" s="5">
        <v>0.23750000000000002</v>
      </c>
      <c r="E467" s="3" t="s">
        <v>30</v>
      </c>
      <c r="F467" s="3" t="s">
        <v>24</v>
      </c>
      <c r="G467" s="3" t="s">
        <v>38</v>
      </c>
      <c r="H467" s="3" t="s">
        <v>15</v>
      </c>
      <c r="I467" s="3" t="s">
        <v>19</v>
      </c>
      <c r="J467" s="3" t="s">
        <v>22</v>
      </c>
      <c r="K467" s="4">
        <v>45005</v>
      </c>
      <c r="L467" s="1">
        <v>24</v>
      </c>
      <c r="M467" s="3" t="s">
        <v>43</v>
      </c>
    </row>
    <row r="468" spans="1:13" x14ac:dyDescent="0.3">
      <c r="A468" s="3">
        <v>467</v>
      </c>
      <c r="B468" s="4">
        <v>45484</v>
      </c>
      <c r="C468" s="4" t="s">
        <v>65</v>
      </c>
      <c r="D468" s="5">
        <v>0.71527777777777779</v>
      </c>
      <c r="E468" s="3" t="s">
        <v>30</v>
      </c>
      <c r="F468" s="3" t="s">
        <v>24</v>
      </c>
      <c r="G468" s="3" t="s">
        <v>37</v>
      </c>
      <c r="H468" s="3" t="s">
        <v>41</v>
      </c>
      <c r="I468" s="3" t="s">
        <v>17</v>
      </c>
      <c r="J468" s="3" t="s">
        <v>22</v>
      </c>
      <c r="K468" s="4">
        <v>45486</v>
      </c>
      <c r="L468" s="1">
        <v>24</v>
      </c>
      <c r="M468" s="3" t="s">
        <v>43</v>
      </c>
    </row>
    <row r="469" spans="1:13" x14ac:dyDescent="0.3">
      <c r="A469" s="3">
        <v>468</v>
      </c>
      <c r="B469" s="4">
        <v>45405</v>
      </c>
      <c r="C469" s="4" t="s">
        <v>57</v>
      </c>
      <c r="D469" s="5">
        <v>0.24027777777777778</v>
      </c>
      <c r="E469" s="3" t="s">
        <v>23</v>
      </c>
      <c r="F469" s="3" t="s">
        <v>24</v>
      </c>
      <c r="G469" s="3" t="s">
        <v>37</v>
      </c>
      <c r="H469" s="3" t="s">
        <v>16</v>
      </c>
      <c r="I469" s="3" t="s">
        <v>18</v>
      </c>
      <c r="J469" s="3" t="s">
        <v>21</v>
      </c>
      <c r="K469" s="4" t="s">
        <v>42</v>
      </c>
      <c r="L469" s="1" t="s">
        <v>42</v>
      </c>
      <c r="M469" s="3" t="s">
        <v>43</v>
      </c>
    </row>
    <row r="470" spans="1:13" x14ac:dyDescent="0.3">
      <c r="A470" s="3">
        <v>469</v>
      </c>
      <c r="B470" s="4">
        <v>45021</v>
      </c>
      <c r="C470" s="4" t="s">
        <v>55</v>
      </c>
      <c r="D470" s="5">
        <v>0.18124999999999999</v>
      </c>
      <c r="E470" s="3" t="s">
        <v>36</v>
      </c>
      <c r="F470" s="3" t="s">
        <v>24</v>
      </c>
      <c r="G470" s="3" t="s">
        <v>14</v>
      </c>
      <c r="H470" s="3" t="s">
        <v>40</v>
      </c>
      <c r="I470" s="3" t="s">
        <v>18</v>
      </c>
      <c r="J470" s="3" t="s">
        <v>20</v>
      </c>
      <c r="K470" s="4" t="s">
        <v>42</v>
      </c>
      <c r="L470" s="1" t="s">
        <v>42</v>
      </c>
      <c r="M470" s="3" t="s">
        <v>43</v>
      </c>
    </row>
    <row r="471" spans="1:13" x14ac:dyDescent="0.3">
      <c r="A471" s="3">
        <v>470</v>
      </c>
      <c r="B471" s="4">
        <v>44991</v>
      </c>
      <c r="C471" s="4" t="s">
        <v>48</v>
      </c>
      <c r="D471" s="5">
        <v>0.43333333333333335</v>
      </c>
      <c r="E471" s="3" t="s">
        <v>26</v>
      </c>
      <c r="F471" s="3" t="s">
        <v>24</v>
      </c>
      <c r="G471" s="3" t="s">
        <v>13</v>
      </c>
      <c r="H471" s="3" t="s">
        <v>40</v>
      </c>
      <c r="I471" s="3" t="s">
        <v>18</v>
      </c>
      <c r="J471" s="3" t="s">
        <v>21</v>
      </c>
      <c r="K471" s="4" t="s">
        <v>42</v>
      </c>
      <c r="L471" s="1" t="s">
        <v>42</v>
      </c>
      <c r="M471" s="3" t="s">
        <v>25</v>
      </c>
    </row>
    <row r="472" spans="1:13" x14ac:dyDescent="0.3">
      <c r="A472" s="3">
        <v>471</v>
      </c>
      <c r="B472" s="4">
        <v>45247</v>
      </c>
      <c r="C472" s="4" t="s">
        <v>46</v>
      </c>
      <c r="D472" s="5">
        <v>0.94305555555555554</v>
      </c>
      <c r="E472" s="3" t="s">
        <v>36</v>
      </c>
      <c r="F472" s="3" t="s">
        <v>24</v>
      </c>
      <c r="G472" s="3" t="s">
        <v>12</v>
      </c>
      <c r="H472" s="3" t="s">
        <v>15</v>
      </c>
      <c r="I472" s="3" t="s">
        <v>17</v>
      </c>
      <c r="J472" s="3" t="s">
        <v>20</v>
      </c>
      <c r="K472" s="4" t="s">
        <v>42</v>
      </c>
      <c r="L472" s="1" t="s">
        <v>42</v>
      </c>
      <c r="M472" s="3" t="s">
        <v>25</v>
      </c>
    </row>
    <row r="473" spans="1:13" x14ac:dyDescent="0.3">
      <c r="A473" s="3">
        <v>472</v>
      </c>
      <c r="B473" s="4">
        <v>45282</v>
      </c>
      <c r="C473" s="4" t="s">
        <v>60</v>
      </c>
      <c r="D473" s="5">
        <v>0.18541666666666665</v>
      </c>
      <c r="E473" s="3" t="s">
        <v>29</v>
      </c>
      <c r="F473" s="3" t="s">
        <v>24</v>
      </c>
      <c r="G473" s="3" t="s">
        <v>37</v>
      </c>
      <c r="H473" s="3" t="s">
        <v>15</v>
      </c>
      <c r="I473" s="3" t="s">
        <v>17</v>
      </c>
      <c r="J473" s="3" t="s">
        <v>22</v>
      </c>
      <c r="K473" s="4">
        <v>45282</v>
      </c>
      <c r="L473" s="1">
        <v>11</v>
      </c>
      <c r="M473" s="3" t="s">
        <v>43</v>
      </c>
    </row>
    <row r="474" spans="1:13" x14ac:dyDescent="0.3">
      <c r="A474" s="3">
        <v>473</v>
      </c>
      <c r="B474" s="4">
        <v>45229</v>
      </c>
      <c r="C474" s="4" t="s">
        <v>56</v>
      </c>
      <c r="D474" s="5">
        <v>0.57499999999999996</v>
      </c>
      <c r="E474" s="3" t="s">
        <v>34</v>
      </c>
      <c r="F474" s="3" t="s">
        <v>24</v>
      </c>
      <c r="G474" s="3" t="s">
        <v>38</v>
      </c>
      <c r="H474" s="3" t="s">
        <v>15</v>
      </c>
      <c r="I474" s="3" t="s">
        <v>19</v>
      </c>
      <c r="J474" s="3" t="s">
        <v>22</v>
      </c>
      <c r="K474" s="4">
        <v>45231</v>
      </c>
      <c r="L474" s="1">
        <v>20</v>
      </c>
      <c r="M474" s="3" t="s">
        <v>43</v>
      </c>
    </row>
    <row r="475" spans="1:13" x14ac:dyDescent="0.3">
      <c r="A475" s="3">
        <v>474</v>
      </c>
      <c r="B475" s="4">
        <v>45555</v>
      </c>
      <c r="C475" s="4" t="s">
        <v>66</v>
      </c>
      <c r="D475" s="5">
        <v>0.51249999999999996</v>
      </c>
      <c r="E475" s="3" t="s">
        <v>29</v>
      </c>
      <c r="F475" s="3" t="s">
        <v>24</v>
      </c>
      <c r="G475" s="3" t="s">
        <v>37</v>
      </c>
      <c r="H475" s="3" t="s">
        <v>40</v>
      </c>
      <c r="I475" s="3" t="s">
        <v>17</v>
      </c>
      <c r="J475" s="3" t="s">
        <v>22</v>
      </c>
      <c r="K475" s="4">
        <v>45557</v>
      </c>
      <c r="L475" s="1">
        <v>8</v>
      </c>
      <c r="M475" s="3" t="s">
        <v>43</v>
      </c>
    </row>
    <row r="476" spans="1:13" x14ac:dyDescent="0.3">
      <c r="A476" s="3">
        <v>475</v>
      </c>
      <c r="B476" s="4">
        <v>45188</v>
      </c>
      <c r="C476" s="4" t="s">
        <v>51</v>
      </c>
      <c r="D476" s="5">
        <v>0.76597222222222228</v>
      </c>
      <c r="E476" s="3" t="s">
        <v>36</v>
      </c>
      <c r="F476" s="3" t="s">
        <v>24</v>
      </c>
      <c r="G476" s="3" t="s">
        <v>37</v>
      </c>
      <c r="H476" s="3" t="s">
        <v>40</v>
      </c>
      <c r="I476" s="3" t="s">
        <v>17</v>
      </c>
      <c r="J476" s="3" t="s">
        <v>21</v>
      </c>
      <c r="K476" s="4" t="s">
        <v>42</v>
      </c>
      <c r="L476" s="1" t="s">
        <v>42</v>
      </c>
      <c r="M476" s="3" t="s">
        <v>43</v>
      </c>
    </row>
    <row r="477" spans="1:13" x14ac:dyDescent="0.3">
      <c r="A477" s="3">
        <v>476</v>
      </c>
      <c r="B477" s="4">
        <v>45589</v>
      </c>
      <c r="C477" s="4" t="s">
        <v>67</v>
      </c>
      <c r="D477" s="5">
        <v>0.22361111111111112</v>
      </c>
      <c r="E477" s="3" t="s">
        <v>34</v>
      </c>
      <c r="F477" s="3" t="s">
        <v>24</v>
      </c>
      <c r="G477" s="3" t="s">
        <v>38</v>
      </c>
      <c r="H477" s="3" t="s">
        <v>40</v>
      </c>
      <c r="I477" s="3" t="s">
        <v>18</v>
      </c>
      <c r="J477" s="3" t="s">
        <v>20</v>
      </c>
      <c r="K477" s="4" t="s">
        <v>42</v>
      </c>
      <c r="L477" s="1" t="s">
        <v>42</v>
      </c>
      <c r="M477" s="3" t="s">
        <v>43</v>
      </c>
    </row>
    <row r="478" spans="1:13" x14ac:dyDescent="0.3">
      <c r="A478" s="3">
        <v>477</v>
      </c>
      <c r="B478" s="4">
        <v>45646</v>
      </c>
      <c r="C478" s="4" t="s">
        <v>59</v>
      </c>
      <c r="D478" s="5">
        <v>0.95208333333333328</v>
      </c>
      <c r="E478" s="3" t="s">
        <v>30</v>
      </c>
      <c r="F478" s="3" t="s">
        <v>24</v>
      </c>
      <c r="G478" s="3" t="s">
        <v>12</v>
      </c>
      <c r="H478" s="3" t="s">
        <v>40</v>
      </c>
      <c r="I478" s="3" t="s">
        <v>17</v>
      </c>
      <c r="J478" s="3" t="s">
        <v>22</v>
      </c>
      <c r="K478" s="4">
        <v>45646</v>
      </c>
      <c r="L478" s="1">
        <v>14</v>
      </c>
      <c r="M478" s="3" t="s">
        <v>25</v>
      </c>
    </row>
    <row r="479" spans="1:13" x14ac:dyDescent="0.3">
      <c r="A479" s="3">
        <v>478</v>
      </c>
      <c r="B479" s="4">
        <v>45018</v>
      </c>
      <c r="C479" s="4" t="s">
        <v>55</v>
      </c>
      <c r="D479" s="5">
        <v>0.22916666666666669</v>
      </c>
      <c r="E479" s="3" t="s">
        <v>35</v>
      </c>
      <c r="F479" s="3" t="s">
        <v>24</v>
      </c>
      <c r="G479" s="3" t="s">
        <v>13</v>
      </c>
      <c r="H479" s="3" t="s">
        <v>16</v>
      </c>
      <c r="I479" s="3" t="s">
        <v>17</v>
      </c>
      <c r="J479" s="3" t="s">
        <v>20</v>
      </c>
      <c r="K479" s="4" t="s">
        <v>42</v>
      </c>
      <c r="L479" s="1" t="s">
        <v>42</v>
      </c>
      <c r="M479" s="3" t="s">
        <v>25</v>
      </c>
    </row>
    <row r="480" spans="1:13" x14ac:dyDescent="0.3">
      <c r="A480" s="3">
        <v>479</v>
      </c>
      <c r="B480" s="4">
        <v>45533</v>
      </c>
      <c r="C480" s="4" t="s">
        <v>64</v>
      </c>
      <c r="D480" s="5">
        <v>0.71805555555555556</v>
      </c>
      <c r="E480" s="3" t="s">
        <v>35</v>
      </c>
      <c r="F480" s="3" t="s">
        <v>24</v>
      </c>
      <c r="G480" s="3" t="s">
        <v>13</v>
      </c>
      <c r="H480" s="3" t="s">
        <v>40</v>
      </c>
      <c r="I480" s="3" t="s">
        <v>17</v>
      </c>
      <c r="J480" s="3" t="s">
        <v>20</v>
      </c>
      <c r="K480" s="4" t="s">
        <v>42</v>
      </c>
      <c r="L480" s="1" t="s">
        <v>42</v>
      </c>
      <c r="M480" s="3" t="s">
        <v>25</v>
      </c>
    </row>
    <row r="481" spans="1:13" x14ac:dyDescent="0.3">
      <c r="A481" s="3">
        <v>480</v>
      </c>
      <c r="B481" s="4">
        <v>45257</v>
      </c>
      <c r="C481" s="4" t="s">
        <v>46</v>
      </c>
      <c r="D481" s="5">
        <v>0.4291666666666667</v>
      </c>
      <c r="E481" s="3" t="s">
        <v>35</v>
      </c>
      <c r="F481" s="3" t="s">
        <v>24</v>
      </c>
      <c r="G481" s="3" t="s">
        <v>12</v>
      </c>
      <c r="H481" s="3" t="s">
        <v>40</v>
      </c>
      <c r="I481" s="3" t="s">
        <v>17</v>
      </c>
      <c r="J481" s="3" t="s">
        <v>20</v>
      </c>
      <c r="K481" s="4" t="s">
        <v>42</v>
      </c>
      <c r="L481" s="1" t="s">
        <v>42</v>
      </c>
      <c r="M481" s="3" t="s">
        <v>25</v>
      </c>
    </row>
    <row r="482" spans="1:13" x14ac:dyDescent="0.3">
      <c r="A482" s="3">
        <v>481</v>
      </c>
      <c r="B482" s="4">
        <v>45401</v>
      </c>
      <c r="C482" s="4" t="s">
        <v>57</v>
      </c>
      <c r="D482" s="5">
        <v>0.15416666666666667</v>
      </c>
      <c r="E482" s="3" t="s">
        <v>36</v>
      </c>
      <c r="F482" s="3" t="s">
        <v>24</v>
      </c>
      <c r="G482" s="3" t="s">
        <v>37</v>
      </c>
      <c r="H482" s="3" t="s">
        <v>40</v>
      </c>
      <c r="I482" s="3" t="s">
        <v>19</v>
      </c>
      <c r="J482" s="3" t="s">
        <v>22</v>
      </c>
      <c r="K482" s="4">
        <v>45402</v>
      </c>
      <c r="L482" s="1">
        <v>23</v>
      </c>
      <c r="M482" s="3" t="s">
        <v>43</v>
      </c>
    </row>
    <row r="483" spans="1:13" x14ac:dyDescent="0.3">
      <c r="A483" s="3">
        <v>482</v>
      </c>
      <c r="B483" s="4">
        <v>45090</v>
      </c>
      <c r="C483" s="4" t="s">
        <v>50</v>
      </c>
      <c r="D483" s="5">
        <v>0.92013888888888884</v>
      </c>
      <c r="E483" s="3" t="s">
        <v>32</v>
      </c>
      <c r="F483" s="3" t="s">
        <v>24</v>
      </c>
      <c r="G483" s="3" t="s">
        <v>13</v>
      </c>
      <c r="H483" s="3" t="s">
        <v>40</v>
      </c>
      <c r="I483" s="3" t="s">
        <v>18</v>
      </c>
      <c r="J483" s="3" t="s">
        <v>22</v>
      </c>
      <c r="K483" s="4">
        <v>45090</v>
      </c>
      <c r="L483" s="1">
        <v>24</v>
      </c>
      <c r="M483" s="3" t="s">
        <v>25</v>
      </c>
    </row>
    <row r="484" spans="1:13" x14ac:dyDescent="0.3">
      <c r="A484" s="3">
        <v>483</v>
      </c>
      <c r="B484" s="4">
        <v>45648</v>
      </c>
      <c r="C484" s="4" t="s">
        <v>59</v>
      </c>
      <c r="D484" s="5">
        <v>0.95208333333333328</v>
      </c>
      <c r="E484" s="3" t="s">
        <v>27</v>
      </c>
      <c r="F484" s="3" t="s">
        <v>24</v>
      </c>
      <c r="G484" s="3" t="s">
        <v>39</v>
      </c>
      <c r="H484" s="3" t="s">
        <v>16</v>
      </c>
      <c r="I484" s="3" t="s">
        <v>19</v>
      </c>
      <c r="J484" s="3" t="s">
        <v>22</v>
      </c>
      <c r="K484" s="4">
        <v>45650</v>
      </c>
      <c r="L484" s="1">
        <v>14</v>
      </c>
      <c r="M484" s="3" t="s">
        <v>43</v>
      </c>
    </row>
    <row r="485" spans="1:13" x14ac:dyDescent="0.3">
      <c r="A485" s="3">
        <v>484</v>
      </c>
      <c r="B485" s="4">
        <v>44984</v>
      </c>
      <c r="C485" s="4" t="s">
        <v>61</v>
      </c>
      <c r="D485" s="5">
        <v>0.49374999999999997</v>
      </c>
      <c r="E485" s="3" t="s">
        <v>30</v>
      </c>
      <c r="F485" s="3" t="s">
        <v>24</v>
      </c>
      <c r="G485" s="3" t="s">
        <v>37</v>
      </c>
      <c r="H485" s="3" t="s">
        <v>40</v>
      </c>
      <c r="I485" s="3" t="s">
        <v>18</v>
      </c>
      <c r="J485" s="3" t="s">
        <v>22</v>
      </c>
      <c r="K485" s="4">
        <v>44986</v>
      </c>
      <c r="L485" s="1">
        <v>22</v>
      </c>
      <c r="M485" s="3" t="s">
        <v>43</v>
      </c>
    </row>
    <row r="486" spans="1:13" x14ac:dyDescent="0.3">
      <c r="A486" s="3">
        <v>485</v>
      </c>
      <c r="B486" s="4">
        <v>44982</v>
      </c>
      <c r="C486" s="4" t="s">
        <v>61</v>
      </c>
      <c r="D486" s="5">
        <v>0.25972222222222224</v>
      </c>
      <c r="E486" s="3" t="s">
        <v>29</v>
      </c>
      <c r="F486" s="3" t="s">
        <v>24</v>
      </c>
      <c r="G486" s="3" t="s">
        <v>14</v>
      </c>
      <c r="H486" s="3" t="s">
        <v>16</v>
      </c>
      <c r="I486" s="3" t="s">
        <v>19</v>
      </c>
      <c r="J486" s="3" t="s">
        <v>22</v>
      </c>
      <c r="K486" s="4">
        <v>44983</v>
      </c>
      <c r="L486" s="1">
        <v>5</v>
      </c>
      <c r="M486" s="3" t="s">
        <v>43</v>
      </c>
    </row>
    <row r="487" spans="1:13" x14ac:dyDescent="0.3">
      <c r="A487" s="3">
        <v>486</v>
      </c>
      <c r="B487" s="4">
        <v>45079</v>
      </c>
      <c r="C487" s="4" t="s">
        <v>50</v>
      </c>
      <c r="D487" s="5">
        <v>0.70694444444444438</v>
      </c>
      <c r="E487" s="3" t="s">
        <v>26</v>
      </c>
      <c r="F487" s="3" t="s">
        <v>24</v>
      </c>
      <c r="G487" s="3" t="s">
        <v>37</v>
      </c>
      <c r="H487" s="3" t="s">
        <v>40</v>
      </c>
      <c r="I487" s="3" t="s">
        <v>18</v>
      </c>
      <c r="J487" s="3" t="s">
        <v>20</v>
      </c>
      <c r="K487" s="4" t="s">
        <v>42</v>
      </c>
      <c r="L487" s="1" t="s">
        <v>42</v>
      </c>
      <c r="M487" s="3" t="s">
        <v>43</v>
      </c>
    </row>
    <row r="488" spans="1:13" x14ac:dyDescent="0.3">
      <c r="A488" s="3">
        <v>487</v>
      </c>
      <c r="B488" s="4">
        <v>45623</v>
      </c>
      <c r="C488" s="4" t="s">
        <v>68</v>
      </c>
      <c r="D488" s="5">
        <v>0.66666666666666663</v>
      </c>
      <c r="E488" s="3" t="s">
        <v>32</v>
      </c>
      <c r="F488" s="3" t="s">
        <v>24</v>
      </c>
      <c r="G488" s="3" t="s">
        <v>38</v>
      </c>
      <c r="H488" s="3" t="s">
        <v>16</v>
      </c>
      <c r="I488" s="3" t="s">
        <v>18</v>
      </c>
      <c r="J488" s="3" t="s">
        <v>21</v>
      </c>
      <c r="K488" s="4" t="s">
        <v>42</v>
      </c>
      <c r="L488" s="1" t="s">
        <v>42</v>
      </c>
      <c r="M488" s="3" t="s">
        <v>43</v>
      </c>
    </row>
    <row r="489" spans="1:13" x14ac:dyDescent="0.3">
      <c r="A489" s="3">
        <v>488</v>
      </c>
      <c r="B489" s="4">
        <v>45226</v>
      </c>
      <c r="C489" s="4" t="s">
        <v>56</v>
      </c>
      <c r="D489" s="5">
        <v>0.67361111111111105</v>
      </c>
      <c r="E489" s="3" t="s">
        <v>23</v>
      </c>
      <c r="F489" s="3" t="s">
        <v>24</v>
      </c>
      <c r="G489" s="3" t="s">
        <v>14</v>
      </c>
      <c r="H489" s="3" t="s">
        <v>16</v>
      </c>
      <c r="I489" s="3" t="s">
        <v>18</v>
      </c>
      <c r="J489" s="3" t="s">
        <v>22</v>
      </c>
      <c r="K489" s="4">
        <v>45226</v>
      </c>
      <c r="L489" s="1">
        <v>13</v>
      </c>
      <c r="M489" s="3" t="s">
        <v>43</v>
      </c>
    </row>
    <row r="490" spans="1:13" x14ac:dyDescent="0.3">
      <c r="A490" s="3">
        <v>489</v>
      </c>
      <c r="B490" s="4">
        <v>45370</v>
      </c>
      <c r="C490" s="4" t="s">
        <v>62</v>
      </c>
      <c r="D490" s="5">
        <v>0.9</v>
      </c>
      <c r="E490" s="3" t="s">
        <v>31</v>
      </c>
      <c r="F490" s="3" t="s">
        <v>24</v>
      </c>
      <c r="G490" s="3" t="s">
        <v>39</v>
      </c>
      <c r="H490" s="3" t="s">
        <v>16</v>
      </c>
      <c r="I490" s="3" t="s">
        <v>17</v>
      </c>
      <c r="J490" s="3" t="s">
        <v>20</v>
      </c>
      <c r="K490" s="4" t="s">
        <v>42</v>
      </c>
      <c r="L490" s="1" t="s">
        <v>42</v>
      </c>
      <c r="M490" s="3" t="s">
        <v>43</v>
      </c>
    </row>
    <row r="491" spans="1:13" x14ac:dyDescent="0.3">
      <c r="A491" s="3">
        <v>490</v>
      </c>
      <c r="B491" s="4">
        <v>44949</v>
      </c>
      <c r="C491" s="4" t="s">
        <v>49</v>
      </c>
      <c r="D491" s="5">
        <v>0.48472222222222222</v>
      </c>
      <c r="E491" s="3" t="s">
        <v>26</v>
      </c>
      <c r="F491" s="3" t="s">
        <v>24</v>
      </c>
      <c r="G491" s="3" t="s">
        <v>12</v>
      </c>
      <c r="H491" s="3" t="s">
        <v>15</v>
      </c>
      <c r="I491" s="3" t="s">
        <v>19</v>
      </c>
      <c r="J491" s="3" t="s">
        <v>22</v>
      </c>
      <c r="K491" s="4">
        <v>44950</v>
      </c>
      <c r="L491" s="1">
        <v>1</v>
      </c>
      <c r="M491" s="3" t="s">
        <v>25</v>
      </c>
    </row>
    <row r="492" spans="1:13" x14ac:dyDescent="0.3">
      <c r="A492" s="3">
        <v>491</v>
      </c>
      <c r="B492" s="4">
        <v>45556</v>
      </c>
      <c r="C492" s="4" t="s">
        <v>66</v>
      </c>
      <c r="D492" s="5">
        <v>0.46388888888888885</v>
      </c>
      <c r="E492" s="3" t="s">
        <v>28</v>
      </c>
      <c r="F492" s="3" t="s">
        <v>24</v>
      </c>
      <c r="G492" s="3" t="s">
        <v>39</v>
      </c>
      <c r="H492" s="3" t="s">
        <v>41</v>
      </c>
      <c r="I492" s="3" t="s">
        <v>18</v>
      </c>
      <c r="J492" s="3" t="s">
        <v>22</v>
      </c>
      <c r="K492" s="4">
        <v>45558</v>
      </c>
      <c r="L492" s="1">
        <v>22</v>
      </c>
      <c r="M492" s="3" t="s">
        <v>43</v>
      </c>
    </row>
    <row r="493" spans="1:13" x14ac:dyDescent="0.3">
      <c r="A493" s="3">
        <v>492</v>
      </c>
      <c r="B493" s="4">
        <v>45333</v>
      </c>
      <c r="C493" s="4" t="s">
        <v>63</v>
      </c>
      <c r="D493" s="5">
        <v>0.10833333333333334</v>
      </c>
      <c r="E493" s="3" t="s">
        <v>36</v>
      </c>
      <c r="F493" s="3" t="s">
        <v>24</v>
      </c>
      <c r="G493" s="3" t="s">
        <v>37</v>
      </c>
      <c r="H493" s="3" t="s">
        <v>15</v>
      </c>
      <c r="I493" s="3" t="s">
        <v>19</v>
      </c>
      <c r="J493" s="3" t="s">
        <v>20</v>
      </c>
      <c r="K493" s="4" t="s">
        <v>42</v>
      </c>
      <c r="L493" s="1" t="s">
        <v>42</v>
      </c>
      <c r="M493" s="3" t="s">
        <v>43</v>
      </c>
    </row>
    <row r="494" spans="1:13" x14ac:dyDescent="0.3">
      <c r="A494" s="3">
        <v>493</v>
      </c>
      <c r="B494" s="4">
        <v>45325</v>
      </c>
      <c r="C494" s="4" t="s">
        <v>63</v>
      </c>
      <c r="D494" s="5">
        <v>0.7729166666666667</v>
      </c>
      <c r="E494" s="3" t="s">
        <v>27</v>
      </c>
      <c r="F494" s="3" t="s">
        <v>24</v>
      </c>
      <c r="G494" s="3" t="s">
        <v>13</v>
      </c>
      <c r="H494" s="3" t="s">
        <v>16</v>
      </c>
      <c r="I494" s="3" t="s">
        <v>19</v>
      </c>
      <c r="J494" s="3" t="s">
        <v>22</v>
      </c>
      <c r="K494" s="4">
        <v>45326</v>
      </c>
      <c r="L494" s="1">
        <v>15</v>
      </c>
      <c r="M494" s="3" t="s">
        <v>25</v>
      </c>
    </row>
    <row r="495" spans="1:13" x14ac:dyDescent="0.3">
      <c r="A495" s="3">
        <v>494</v>
      </c>
      <c r="B495" s="4">
        <v>44960</v>
      </c>
      <c r="C495" s="4" t="s">
        <v>61</v>
      </c>
      <c r="D495" s="5">
        <v>0.89097222222222228</v>
      </c>
      <c r="E495" s="3" t="s">
        <v>33</v>
      </c>
      <c r="F495" s="3" t="s">
        <v>24</v>
      </c>
      <c r="G495" s="3" t="s">
        <v>38</v>
      </c>
      <c r="H495" s="3" t="s">
        <v>16</v>
      </c>
      <c r="I495" s="3" t="s">
        <v>17</v>
      </c>
      <c r="J495" s="3" t="s">
        <v>22</v>
      </c>
      <c r="K495" s="4">
        <v>44962</v>
      </c>
      <c r="L495" s="1">
        <v>9</v>
      </c>
      <c r="M495" s="3" t="s">
        <v>43</v>
      </c>
    </row>
    <row r="496" spans="1:13" x14ac:dyDescent="0.3">
      <c r="A496" s="3">
        <v>495</v>
      </c>
      <c r="B496" s="4">
        <v>45500</v>
      </c>
      <c r="C496" s="4" t="s">
        <v>65</v>
      </c>
      <c r="D496" s="5">
        <v>0.85763888888888895</v>
      </c>
      <c r="E496" s="3" t="s">
        <v>35</v>
      </c>
      <c r="F496" s="3" t="s">
        <v>24</v>
      </c>
      <c r="G496" s="3" t="s">
        <v>38</v>
      </c>
      <c r="H496" s="3" t="s">
        <v>40</v>
      </c>
      <c r="I496" s="3" t="s">
        <v>19</v>
      </c>
      <c r="J496" s="3" t="s">
        <v>21</v>
      </c>
      <c r="K496" s="4" t="s">
        <v>42</v>
      </c>
      <c r="L496" s="1" t="s">
        <v>42</v>
      </c>
      <c r="M496" s="3" t="s">
        <v>43</v>
      </c>
    </row>
    <row r="497" spans="1:13" x14ac:dyDescent="0.3">
      <c r="A497" s="3">
        <v>496</v>
      </c>
      <c r="B497" s="4">
        <v>45627</v>
      </c>
      <c r="C497" s="4" t="s">
        <v>59</v>
      </c>
      <c r="D497" s="5">
        <v>0.20972222222222223</v>
      </c>
      <c r="E497" s="3" t="s">
        <v>32</v>
      </c>
      <c r="F497" s="3" t="s">
        <v>24</v>
      </c>
      <c r="G497" s="3" t="s">
        <v>12</v>
      </c>
      <c r="H497" s="3" t="s">
        <v>16</v>
      </c>
      <c r="I497" s="3" t="s">
        <v>19</v>
      </c>
      <c r="J497" s="3" t="s">
        <v>22</v>
      </c>
      <c r="K497" s="4">
        <v>45629</v>
      </c>
      <c r="L497" s="1">
        <v>7</v>
      </c>
      <c r="M497" s="3" t="s">
        <v>25</v>
      </c>
    </row>
    <row r="498" spans="1:13" x14ac:dyDescent="0.3">
      <c r="A498" s="3">
        <v>497</v>
      </c>
      <c r="B498" s="4">
        <v>45576</v>
      </c>
      <c r="C498" s="4" t="s">
        <v>67</v>
      </c>
      <c r="D498" s="5">
        <v>0.8930555555555556</v>
      </c>
      <c r="E498" s="3" t="s">
        <v>28</v>
      </c>
      <c r="F498" s="3" t="s">
        <v>24</v>
      </c>
      <c r="G498" s="3" t="s">
        <v>38</v>
      </c>
      <c r="H498" s="3" t="s">
        <v>41</v>
      </c>
      <c r="I498" s="3" t="s">
        <v>19</v>
      </c>
      <c r="J498" s="3" t="s">
        <v>21</v>
      </c>
      <c r="K498" s="4" t="s">
        <v>42</v>
      </c>
      <c r="L498" s="1" t="s">
        <v>42</v>
      </c>
      <c r="M498" s="3" t="s">
        <v>43</v>
      </c>
    </row>
    <row r="499" spans="1:13" x14ac:dyDescent="0.3">
      <c r="A499" s="3">
        <v>498</v>
      </c>
      <c r="B499" s="4">
        <v>45268</v>
      </c>
      <c r="C499" s="4" t="s">
        <v>60</v>
      </c>
      <c r="D499" s="5">
        <v>0.14722222222222223</v>
      </c>
      <c r="E499" s="3" t="s">
        <v>26</v>
      </c>
      <c r="F499" s="3" t="s">
        <v>24</v>
      </c>
      <c r="G499" s="3" t="s">
        <v>12</v>
      </c>
      <c r="H499" s="3" t="s">
        <v>40</v>
      </c>
      <c r="I499" s="3" t="s">
        <v>18</v>
      </c>
      <c r="J499" s="3" t="s">
        <v>22</v>
      </c>
      <c r="K499" s="4">
        <v>45268</v>
      </c>
      <c r="L499" s="1">
        <v>7</v>
      </c>
      <c r="M499" s="3" t="s">
        <v>25</v>
      </c>
    </row>
    <row r="500" spans="1:13" x14ac:dyDescent="0.3">
      <c r="A500" s="3">
        <v>499</v>
      </c>
      <c r="B500" s="4">
        <v>44978</v>
      </c>
      <c r="C500" s="4" t="s">
        <v>61</v>
      </c>
      <c r="D500" s="5">
        <v>0.64166666666666672</v>
      </c>
      <c r="E500" s="3" t="s">
        <v>26</v>
      </c>
      <c r="F500" s="3" t="s">
        <v>24</v>
      </c>
      <c r="G500" s="3" t="s">
        <v>14</v>
      </c>
      <c r="H500" s="3" t="s">
        <v>16</v>
      </c>
      <c r="I500" s="3" t="s">
        <v>17</v>
      </c>
      <c r="J500" s="3" t="s">
        <v>22</v>
      </c>
      <c r="K500" s="4">
        <v>44979</v>
      </c>
      <c r="L500" s="1">
        <v>17</v>
      </c>
      <c r="M500" s="3" t="s">
        <v>43</v>
      </c>
    </row>
    <row r="501" spans="1:13" x14ac:dyDescent="0.3">
      <c r="A501" s="3">
        <v>500</v>
      </c>
      <c r="B501" s="4">
        <v>45593</v>
      </c>
      <c r="C501" s="4" t="s">
        <v>67</v>
      </c>
      <c r="D501" s="5">
        <v>0.84305555555555556</v>
      </c>
      <c r="E501" s="3" t="s">
        <v>23</v>
      </c>
      <c r="F501" s="3" t="s">
        <v>24</v>
      </c>
      <c r="G501" s="3" t="s">
        <v>37</v>
      </c>
      <c r="H501" s="3" t="s">
        <v>40</v>
      </c>
      <c r="I501" s="3" t="s">
        <v>17</v>
      </c>
      <c r="J501" s="3" t="s">
        <v>22</v>
      </c>
      <c r="K501" s="4">
        <v>45593</v>
      </c>
      <c r="L501" s="1">
        <v>15</v>
      </c>
      <c r="M501" s="3" t="s">
        <v>43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332D9-5059-439D-AE52-4B33D41E09AD}">
  <dimension ref="A1:C12"/>
  <sheetViews>
    <sheetView workbookViewId="0">
      <selection activeCell="C4" sqref="C4"/>
    </sheetView>
  </sheetViews>
  <sheetFormatPr baseColWidth="10" defaultRowHeight="14.4" x14ac:dyDescent="0.3"/>
  <cols>
    <col min="1" max="1" width="22.21875" customWidth="1"/>
    <col min="2" max="2" width="15.44140625" bestFit="1" customWidth="1"/>
    <col min="3" max="3" width="21.88671875" customWidth="1"/>
  </cols>
  <sheetData>
    <row r="1" spans="1:3" x14ac:dyDescent="0.3">
      <c r="A1" t="s">
        <v>23</v>
      </c>
      <c r="B1" t="s">
        <v>12</v>
      </c>
      <c r="C1" s="3" t="s">
        <v>16</v>
      </c>
    </row>
    <row r="2" spans="1:3" x14ac:dyDescent="0.3">
      <c r="A2" t="s">
        <v>27</v>
      </c>
      <c r="B2" t="s">
        <v>13</v>
      </c>
      <c r="C2" s="3" t="s">
        <v>15</v>
      </c>
    </row>
    <row r="3" spans="1:3" x14ac:dyDescent="0.3">
      <c r="A3" t="s">
        <v>26</v>
      </c>
      <c r="B3" t="s">
        <v>14</v>
      </c>
      <c r="C3" s="3" t="s">
        <v>41</v>
      </c>
    </row>
    <row r="4" spans="1:3" x14ac:dyDescent="0.3">
      <c r="A4" t="s">
        <v>28</v>
      </c>
      <c r="B4" t="s">
        <v>37</v>
      </c>
      <c r="C4" s="3" t="s">
        <v>40</v>
      </c>
    </row>
    <row r="5" spans="1:3" x14ac:dyDescent="0.3">
      <c r="A5" t="s">
        <v>29</v>
      </c>
      <c r="B5" t="s">
        <v>38</v>
      </c>
      <c r="C5" s="3"/>
    </row>
    <row r="6" spans="1:3" x14ac:dyDescent="0.3">
      <c r="A6" t="s">
        <v>30</v>
      </c>
      <c r="B6" t="s">
        <v>39</v>
      </c>
    </row>
    <row r="7" spans="1:3" x14ac:dyDescent="0.3">
      <c r="A7" t="s">
        <v>31</v>
      </c>
    </row>
    <row r="8" spans="1:3" x14ac:dyDescent="0.3">
      <c r="A8" t="s">
        <v>32</v>
      </c>
    </row>
    <row r="9" spans="1:3" x14ac:dyDescent="0.3">
      <c r="A9" t="s">
        <v>33</v>
      </c>
    </row>
    <row r="10" spans="1:3" x14ac:dyDescent="0.3">
      <c r="A10" t="s">
        <v>34</v>
      </c>
    </row>
    <row r="11" spans="1:3" x14ac:dyDescent="0.3">
      <c r="A11" t="s">
        <v>35</v>
      </c>
    </row>
    <row r="12" spans="1:3" x14ac:dyDescent="0.3">
      <c r="A1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FORMULA.DATASET</vt:lpstr>
      <vt:lpstr>DATA SET</vt:lpstr>
      <vt:lpstr>lista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Aldhair Gonzales</dc:creator>
  <cp:lastModifiedBy>Aldhair Gonzales</cp:lastModifiedBy>
  <dcterms:created xsi:type="dcterms:W3CDTF">2025-12-25T20:14:30Z</dcterms:created>
  <dcterms:modified xsi:type="dcterms:W3CDTF">2025-12-25T21:07:33Z</dcterms:modified>
</cp:coreProperties>
</file>